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45900ed4fe3a480/Técnico/Tese/Ephemera e ACL/"/>
    </mc:Choice>
  </mc:AlternateContent>
  <xr:revisionPtr revIDLastSave="134" documentId="11_E7A4C294D0B1B2CADFDC64B53AAB62BC1CE803BC" xr6:coauthVersionLast="47" xr6:coauthVersionMax="47" xr10:uidLastSave="{66DCFEB5-F7C2-0F45-BE33-980C5DEAED07}"/>
  <bookViews>
    <workbookView xWindow="0" yWindow="660" windowWidth="29400" windowHeight="18460" firstSheet="2" activeTab="2" xr2:uid="{00000000-000D-0000-FFFF-FFFF00000000}"/>
  </bookViews>
  <sheets>
    <sheet name="Máquinas ACL" sheetId="1" r:id="rId1"/>
    <sheet name="Contactos" sheetId="2" r:id="rId2"/>
    <sheet name="Serviços" sheetId="3" r:id="rId3"/>
    <sheet name="Website Institucional" sheetId="4" r:id="rId4"/>
    <sheet name="Biblioteca" sheetId="5" r:id="rId5"/>
    <sheet name="Arquivo" sheetId="6" r:id="rId6"/>
    <sheet name="Museu" sheetId="7" r:id="rId7"/>
    <sheet name="Dashboard Geral" sheetId="9" r:id="rId8"/>
    <sheet name="Dashboard Website" sheetId="10" r:id="rId9"/>
    <sheet name="Dashboard Biblioteca" sheetId="11" r:id="rId10"/>
    <sheet name="Dashboard Arquivo" sheetId="12" r:id="rId11"/>
    <sheet name="Dashboard Museu" sheetId="13" r:id="rId12"/>
    <sheet name="Dados Dashboard" sheetId="8" r:id="rId1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J9" i="9"/>
  <c r="B45" i="13"/>
  <c r="A45" i="13"/>
  <c r="B27" i="13"/>
  <c r="A27" i="13"/>
  <c r="B9" i="13"/>
  <c r="A9" i="13"/>
  <c r="J5" i="13"/>
  <c r="G5" i="13"/>
  <c r="D5" i="13"/>
  <c r="A5" i="13"/>
  <c r="B45" i="12"/>
  <c r="A45" i="12"/>
  <c r="B27" i="12"/>
  <c r="A27" i="12"/>
  <c r="B9" i="12"/>
  <c r="A9" i="12"/>
  <c r="J5" i="12"/>
  <c r="G5" i="12"/>
  <c r="D5" i="12"/>
  <c r="A5" i="12"/>
  <c r="B45" i="11"/>
  <c r="A45" i="11"/>
  <c r="B27" i="11"/>
  <c r="A27" i="11"/>
  <c r="B9" i="11"/>
  <c r="A9" i="11"/>
  <c r="J5" i="11"/>
  <c r="G5" i="11"/>
  <c r="D5" i="11"/>
  <c r="A5" i="11"/>
  <c r="B45" i="10"/>
  <c r="A45" i="10"/>
  <c r="B27" i="10"/>
  <c r="A27" i="10"/>
  <c r="B9" i="10"/>
  <c r="A9" i="10"/>
  <c r="J5" i="10"/>
  <c r="G5" i="10"/>
  <c r="A18" i="9"/>
  <c r="A17" i="9"/>
  <c r="A16" i="9"/>
  <c r="A15" i="9"/>
  <c r="A14" i="9"/>
  <c r="E65" i="8"/>
  <c r="B34" i="13"/>
  <c r="D65" i="8"/>
  <c r="A34" i="13"/>
  <c r="E64" i="8"/>
  <c r="B33" i="13"/>
  <c r="D64" i="8"/>
  <c r="A33" i="13"/>
  <c r="E63" i="8"/>
  <c r="B32" i="13"/>
  <c r="D63" i="8"/>
  <c r="A32" i="13"/>
  <c r="E62" i="8"/>
  <c r="B31" i="13"/>
  <c r="D62" i="8"/>
  <c r="A31" i="13"/>
  <c r="K61" i="8"/>
  <c r="J61" i="8"/>
  <c r="H61" i="8"/>
  <c r="B48" i="13"/>
  <c r="G61" i="8"/>
  <c r="A48" i="13"/>
  <c r="E61" i="8"/>
  <c r="B30" i="13"/>
  <c r="D61" i="8"/>
  <c r="A30" i="13"/>
  <c r="K60" i="8"/>
  <c r="J60" i="8"/>
  <c r="H60" i="8"/>
  <c r="B47" i="13"/>
  <c r="G60" i="8"/>
  <c r="A47" i="13"/>
  <c r="E60" i="8"/>
  <c r="B29" i="13"/>
  <c r="D60" i="8"/>
  <c r="A29" i="13"/>
  <c r="B60" i="8"/>
  <c r="B11" i="13"/>
  <c r="A60" i="8"/>
  <c r="A11" i="13"/>
  <c r="N59" i="8"/>
  <c r="M59" i="8"/>
  <c r="K59" i="8"/>
  <c r="J59" i="8"/>
  <c r="H59" i="8"/>
  <c r="B46" i="13"/>
  <c r="G59" i="8"/>
  <c r="A46" i="13"/>
  <c r="E59" i="8"/>
  <c r="B28" i="13"/>
  <c r="D59" i="8"/>
  <c r="A28" i="13"/>
  <c r="B59" i="8"/>
  <c r="B10" i="13"/>
  <c r="A59" i="8"/>
  <c r="A10" i="13"/>
  <c r="H52" i="8"/>
  <c r="B55" i="12"/>
  <c r="G52" i="8"/>
  <c r="A55" i="12"/>
  <c r="B52" i="8"/>
  <c r="B19" i="12"/>
  <c r="A52" i="8"/>
  <c r="A19" i="12"/>
  <c r="H51" i="8"/>
  <c r="B54" i="12"/>
  <c r="G51" i="8"/>
  <c r="A54" i="12"/>
  <c r="B51" i="8"/>
  <c r="B18" i="12"/>
  <c r="A51" i="8"/>
  <c r="A18" i="12"/>
  <c r="H50" i="8"/>
  <c r="B53" i="12"/>
  <c r="G50" i="8"/>
  <c r="A53" i="12"/>
  <c r="B50" i="8"/>
  <c r="B17" i="12"/>
  <c r="A50" i="8"/>
  <c r="A17" i="12"/>
  <c r="H49" i="8"/>
  <c r="B52" i="12"/>
  <c r="G49" i="8"/>
  <c r="A52" i="12"/>
  <c r="B49" i="8"/>
  <c r="B16" i="12"/>
  <c r="A49" i="8"/>
  <c r="A16" i="12"/>
  <c r="H48" i="8"/>
  <c r="B51" i="12"/>
  <c r="G48" i="8"/>
  <c r="A51" i="12"/>
  <c r="B48" i="8"/>
  <c r="B15" i="12"/>
  <c r="A48" i="8"/>
  <c r="A15" i="12"/>
  <c r="H47" i="8"/>
  <c r="B50" i="12"/>
  <c r="G47" i="8"/>
  <c r="A50" i="12"/>
  <c r="B47" i="8"/>
  <c r="B14" i="12"/>
  <c r="A47" i="8"/>
  <c r="A14" i="12"/>
  <c r="H46" i="8"/>
  <c r="B49" i="12"/>
  <c r="G46" i="8"/>
  <c r="A49" i="12"/>
  <c r="B46" i="8"/>
  <c r="B13" i="12"/>
  <c r="A46" i="8"/>
  <c r="A13" i="12"/>
  <c r="H45" i="8"/>
  <c r="B48" i="12"/>
  <c r="G45" i="8"/>
  <c r="A48" i="12"/>
  <c r="B45" i="8"/>
  <c r="B12" i="12"/>
  <c r="A45" i="8"/>
  <c r="A12" i="12"/>
  <c r="H44" i="8"/>
  <c r="B47" i="12"/>
  <c r="G44" i="8"/>
  <c r="A47" i="12"/>
  <c r="E44" i="8"/>
  <c r="B29" i="12"/>
  <c r="D44" i="8"/>
  <c r="A29" i="12"/>
  <c r="B44" i="8"/>
  <c r="B11" i="12"/>
  <c r="A44" i="8"/>
  <c r="A11" i="12"/>
  <c r="H43" i="8"/>
  <c r="B46" i="12"/>
  <c r="G43" i="8"/>
  <c r="A46" i="12"/>
  <c r="E43" i="8"/>
  <c r="B28" i="12"/>
  <c r="D43" i="8"/>
  <c r="A28" i="12"/>
  <c r="B43" i="8"/>
  <c r="B10" i="12"/>
  <c r="A43" i="8"/>
  <c r="A10" i="12"/>
  <c r="K36" i="8"/>
  <c r="B55" i="11"/>
  <c r="J36" i="8"/>
  <c r="A55" i="11"/>
  <c r="E36" i="8"/>
  <c r="B37" i="11"/>
  <c r="D36" i="8"/>
  <c r="A37" i="11"/>
  <c r="K35" i="8"/>
  <c r="B54" i="11"/>
  <c r="J35" i="8"/>
  <c r="A54" i="11"/>
  <c r="E35" i="8"/>
  <c r="B36" i="11"/>
  <c r="D35" i="8"/>
  <c r="A36" i="11"/>
  <c r="K34" i="8"/>
  <c r="B53" i="11"/>
  <c r="J34" i="8"/>
  <c r="A53" i="11"/>
  <c r="E34" i="8"/>
  <c r="B35" i="11"/>
  <c r="D34" i="8"/>
  <c r="A35" i="11"/>
  <c r="K33" i="8"/>
  <c r="B52" i="11"/>
  <c r="J33" i="8"/>
  <c r="A52" i="11"/>
  <c r="E33" i="8"/>
  <c r="B34" i="11"/>
  <c r="D33" i="8"/>
  <c r="A34" i="11"/>
  <c r="N32" i="8"/>
  <c r="M32" i="8"/>
  <c r="K32" i="8"/>
  <c r="B51" i="11"/>
  <c r="J32" i="8"/>
  <c r="A51" i="11"/>
  <c r="E32" i="8"/>
  <c r="B33" i="11"/>
  <c r="D32" i="8"/>
  <c r="A33" i="11"/>
  <c r="B32" i="8"/>
  <c r="B15" i="11"/>
  <c r="A32" i="8"/>
  <c r="A15" i="11"/>
  <c r="N31" i="8"/>
  <c r="M31" i="8"/>
  <c r="K31" i="8"/>
  <c r="B50" i="11"/>
  <c r="J31" i="8"/>
  <c r="A50" i="11"/>
  <c r="H31" i="8"/>
  <c r="G31" i="8"/>
  <c r="E31" i="8"/>
  <c r="B32" i="11"/>
  <c r="D31" i="8"/>
  <c r="A32" i="11"/>
  <c r="B31" i="8"/>
  <c r="B14" i="11"/>
  <c r="A31" i="8"/>
  <c r="A14" i="11"/>
  <c r="N30" i="8"/>
  <c r="M30" i="8"/>
  <c r="K30" i="8"/>
  <c r="B49" i="11"/>
  <c r="J30" i="8"/>
  <c r="A49" i="11"/>
  <c r="H30" i="8"/>
  <c r="G30" i="8"/>
  <c r="E30" i="8"/>
  <c r="B31" i="11"/>
  <c r="D30" i="8"/>
  <c r="A31" i="11"/>
  <c r="B30" i="8"/>
  <c r="B13" i="11"/>
  <c r="A30" i="8"/>
  <c r="A13" i="11"/>
  <c r="N29" i="8"/>
  <c r="M29" i="8"/>
  <c r="K29" i="8"/>
  <c r="B48" i="11"/>
  <c r="J29" i="8"/>
  <c r="A48" i="11"/>
  <c r="H29" i="8"/>
  <c r="G29" i="8"/>
  <c r="E29" i="8"/>
  <c r="B30" i="11"/>
  <c r="D29" i="8"/>
  <c r="A30" i="11"/>
  <c r="B29" i="8"/>
  <c r="B12" i="11"/>
  <c r="A29" i="8"/>
  <c r="A12" i="11"/>
  <c r="N28" i="8"/>
  <c r="M28" i="8"/>
  <c r="K28" i="8"/>
  <c r="B47" i="11"/>
  <c r="J28" i="8"/>
  <c r="A47" i="11"/>
  <c r="H28" i="8"/>
  <c r="G28" i="8"/>
  <c r="E28" i="8"/>
  <c r="B29" i="11"/>
  <c r="D28" i="8"/>
  <c r="A29" i="11"/>
  <c r="B28" i="8"/>
  <c r="B11" i="11"/>
  <c r="A28" i="8"/>
  <c r="A11" i="11"/>
  <c r="N27" i="8"/>
  <c r="M27" i="8"/>
  <c r="K27" i="8"/>
  <c r="B46" i="11"/>
  <c r="J27" i="8"/>
  <c r="A46" i="11"/>
  <c r="H27" i="8"/>
  <c r="G27" i="8"/>
  <c r="E27" i="8"/>
  <c r="B28" i="11"/>
  <c r="D27" i="8"/>
  <c r="A28" i="11"/>
  <c r="B27" i="8"/>
  <c r="B10" i="11"/>
  <c r="A27" i="8"/>
  <c r="A10" i="11"/>
  <c r="H23" i="8"/>
  <c r="B53" i="10"/>
  <c r="G23" i="8"/>
  <c r="A53" i="10"/>
  <c r="H22" i="8"/>
  <c r="B52" i="10"/>
  <c r="G22" i="8"/>
  <c r="A52" i="10"/>
  <c r="E22" i="8"/>
  <c r="B34" i="10"/>
  <c r="D22" i="8"/>
  <c r="A34" i="10"/>
  <c r="H21" i="8"/>
  <c r="B51" i="10"/>
  <c r="G21" i="8"/>
  <c r="A51" i="10"/>
  <c r="E21" i="8"/>
  <c r="B33" i="10"/>
  <c r="D21" i="8"/>
  <c r="A33" i="10"/>
  <c r="B21" i="8"/>
  <c r="B15" i="10"/>
  <c r="A21" i="8"/>
  <c r="A15" i="10"/>
  <c r="H20" i="8"/>
  <c r="B50" i="10"/>
  <c r="G20" i="8"/>
  <c r="A50" i="10"/>
  <c r="E20" i="8"/>
  <c r="B32" i="10"/>
  <c r="D20" i="8"/>
  <c r="A32" i="10"/>
  <c r="B20" i="8"/>
  <c r="B14" i="10"/>
  <c r="A20" i="8"/>
  <c r="A14" i="10"/>
  <c r="H19" i="8"/>
  <c r="B49" i="10"/>
  <c r="G19" i="8"/>
  <c r="A49" i="10"/>
  <c r="E19" i="8"/>
  <c r="B31" i="10"/>
  <c r="D19" i="8"/>
  <c r="A31" i="10"/>
  <c r="B19" i="8"/>
  <c r="B13" i="10"/>
  <c r="A19" i="8"/>
  <c r="A13" i="10"/>
  <c r="H18" i="8"/>
  <c r="B48" i="10"/>
  <c r="G18" i="8"/>
  <c r="A48" i="10"/>
  <c r="E18" i="8"/>
  <c r="B30" i="10"/>
  <c r="D18" i="8"/>
  <c r="A30" i="10"/>
  <c r="B18" i="8"/>
  <c r="B12" i="10"/>
  <c r="A18" i="8"/>
  <c r="A12" i="10"/>
  <c r="H17" i="8"/>
  <c r="B47" i="10"/>
  <c r="G17" i="8"/>
  <c r="A47" i="10"/>
  <c r="E17" i="8"/>
  <c r="B29" i="10"/>
  <c r="D17" i="8"/>
  <c r="A29" i="10"/>
  <c r="B17" i="8"/>
  <c r="B11" i="10"/>
  <c r="A17" i="8"/>
  <c r="A11" i="10"/>
  <c r="H16" i="8"/>
  <c r="B46" i="10"/>
  <c r="G16" i="8"/>
  <c r="A46" i="10"/>
  <c r="E16" i="8"/>
  <c r="B28" i="10"/>
  <c r="D16" i="8"/>
  <c r="A28" i="10"/>
  <c r="B16" i="8"/>
  <c r="B10" i="10"/>
  <c r="A16" i="8"/>
  <c r="A10" i="10"/>
  <c r="B12" i="8"/>
  <c r="B11" i="8"/>
  <c r="B10" i="8"/>
  <c r="G9" i="9"/>
  <c r="E9" i="8"/>
  <c r="B18" i="9"/>
  <c r="E8" i="8"/>
  <c r="B17" i="9"/>
  <c r="E7" i="8"/>
  <c r="B16" i="9"/>
  <c r="B7" i="8"/>
  <c r="G5" i="9"/>
  <c r="B6" i="8"/>
  <c r="D5" i="9"/>
  <c r="B5" i="8"/>
  <c r="A5" i="9"/>
  <c r="D24" i="7"/>
  <c r="D23" i="7"/>
  <c r="D20" i="7"/>
  <c r="D17" i="7"/>
  <c r="D10" i="7"/>
  <c r="D30" i="6"/>
  <c r="D20" i="6"/>
  <c r="D18" i="6"/>
  <c r="D180" i="5"/>
  <c r="D173" i="5"/>
  <c r="D125" i="5"/>
  <c r="D109" i="5"/>
  <c r="D93" i="5"/>
  <c r="D77" i="5"/>
  <c r="D61" i="5"/>
  <c r="D45" i="5"/>
  <c r="D29" i="5"/>
  <c r="D24" i="5"/>
  <c r="D13" i="5"/>
  <c r="E16" i="4"/>
  <c r="B15" i="4"/>
  <c r="A5" i="10"/>
  <c r="B8" i="8"/>
  <c r="A9" i="9"/>
  <c r="E5" i="8"/>
  <c r="B14" i="9"/>
  <c r="D5" i="10"/>
  <c r="B9" i="8"/>
  <c r="D9" i="9"/>
  <c r="E6" i="8"/>
  <c r="B15" i="9"/>
</calcChain>
</file>

<file path=xl/sharedStrings.xml><?xml version="1.0" encoding="utf-8"?>
<sst xmlns="http://schemas.openxmlformats.org/spreadsheetml/2006/main" count="729" uniqueCount="411">
  <si>
    <t>ID / Nome da Máquina</t>
  </si>
  <si>
    <t>Tipo</t>
  </si>
  <si>
    <t>Localização</t>
  </si>
  <si>
    <t>Fornecedor / Gestão</t>
  </si>
  <si>
    <t>Serviços Alojados</t>
  </si>
  <si>
    <t>Notas</t>
  </si>
  <si>
    <t>ACL-Físicos</t>
  </si>
  <si>
    <t>3 Máquinas Físicas</t>
  </si>
  <si>
    <t>ACL</t>
  </si>
  <si>
    <t>Suportam as VMs locais</t>
  </si>
  <si>
    <t>ACL-VMs</t>
  </si>
  <si>
    <t>12 Máquinas Virtuais</t>
  </si>
  <si>
    <t>Archeevo, Museu, Biblioteca (Windows), Visita3D</t>
  </si>
  <si>
    <t>Servidor Dominios</t>
  </si>
  <si>
    <t>Cloud</t>
  </si>
  <si>
    <t>dominios.pt</t>
  </si>
  <si>
    <t>Dominios.pt / ERLOG</t>
  </si>
  <si>
    <t>Página Principal (WordPress) e Viagem ARF??</t>
  </si>
  <si>
    <t xml:space="preserve">WordPress: ERLOG adiciona ferramentas mas gestão é feita pela ACL. Lento, delay na publicação. Verificar backups e segurança no dominios.pt. Confirmar se a Viagem de Alexandre também está no dominios.pt </t>
  </si>
  <si>
    <t>Servidor Antigo IST</t>
  </si>
  <si>
    <t>Físico/VM Antiga</t>
  </si>
  <si>
    <t>Modelos Anatómicos</t>
  </si>
  <si>
    <t>Infraestrutura ILLLP</t>
  </si>
  <si>
    <t>-</t>
  </si>
  <si>
    <t>ILLLP</t>
  </si>
  <si>
    <t>Dicionários, Vocabulário</t>
  </si>
  <si>
    <t>Possibilidade de migrar ferramentas do ILLLP para a infraestrutura da ACL.</t>
  </si>
  <si>
    <t>Google</t>
  </si>
  <si>
    <t>Vídeos Institucionais</t>
  </si>
  <si>
    <t>Possibilidade de criar mirror no Educast e storage local.</t>
  </si>
  <si>
    <t>Nome</t>
  </si>
  <si>
    <t>Cargo</t>
  </si>
  <si>
    <t>E-mail</t>
  </si>
  <si>
    <t>Aplicações</t>
  </si>
  <si>
    <t>Responsabilidades / Observações</t>
  </si>
  <si>
    <t>Consultor Externo</t>
  </si>
  <si>
    <t>Consultor direto do Presidente para o Desafio Digital / Integração Informática.</t>
  </si>
  <si>
    <t>Mestrando</t>
  </si>
  <si>
    <t>Levantamento e diagnóstico tecnológico.</t>
  </si>
  <si>
    <t>Coordenador/Dirigente</t>
  </si>
  <si>
    <t>Coordenação geral</t>
  </si>
  <si>
    <t>Responsável Archeevo e Porbase</t>
  </si>
  <si>
    <t>Porbase, Archeevo, WordPress, Biblioteca Digital</t>
  </si>
  <si>
    <t>Coordena Arquivo e Biblioteca Digital. Gestão provisória das licenças Archeevo e Porbase. Edição/publicação no website WordPress</t>
  </si>
  <si>
    <t>Responsável Tecnológico</t>
  </si>
  <si>
    <t>WordPress, Museo</t>
  </si>
  <si>
    <t>Adm. tecnológica (servidor, contas), gestão de licenças e edição/publicação no website WordPress</t>
  </si>
  <si>
    <t>Técnico Exterior</t>
  </si>
  <si>
    <t>Informática</t>
  </si>
  <si>
    <t>Funcionário</t>
  </si>
  <si>
    <t>WordPress, YouTube</t>
  </si>
  <si>
    <t>Edição/publicação no WordPress, levantamento e gestão de vídeos do YouTube.</t>
  </si>
  <si>
    <t>Bolseiro</t>
  </si>
  <si>
    <t>Funcionalidade WordPress e apoio na gestão dos vídeos do youtube.</t>
  </si>
  <si>
    <t>Funcionária</t>
  </si>
  <si>
    <t>Museo</t>
  </si>
  <si>
    <t>Edição/publicação de registos no Museu</t>
  </si>
  <si>
    <t>Bolseira</t>
  </si>
  <si>
    <t>Porbase, Archeevo</t>
  </si>
  <si>
    <t>Edição/publicação de registos na porbase e Archeevo</t>
  </si>
  <si>
    <t>Área</t>
  </si>
  <si>
    <t>Serviço</t>
  </si>
  <si>
    <t>Software</t>
  </si>
  <si>
    <t>URL</t>
  </si>
  <si>
    <t>Servidor</t>
  </si>
  <si>
    <t>Fornecedor</t>
  </si>
  <si>
    <t>Custo</t>
  </si>
  <si>
    <t>Problemas / Notas</t>
  </si>
  <si>
    <t>IP Máquina</t>
  </si>
  <si>
    <t>Website Institucional</t>
  </si>
  <si>
    <t>WordPress</t>
  </si>
  <si>
    <t>acad-ciencias.pt</t>
  </si>
  <si>
    <t>ERLOG (Manutenção, backups), Conteúdos geridos pela ACL</t>
  </si>
  <si>
    <t>Biblioteca</t>
  </si>
  <si>
    <t>Sistema de Gestão de Bibliotecas</t>
  </si>
  <si>
    <t>mindPrisma</t>
  </si>
  <si>
    <t>biblioteca.acad-ciencias.pt</t>
  </si>
  <si>
    <t>Mind</t>
  </si>
  <si>
    <t>assegurado por plug-in de "livrastrias digital". Triplicação com o porbase e RCAAP. Migração porbase-RCAAP é manual. PDFs estão todos no RCAAP. No PRISMA há PDFs locais de manuscritos digitalizados</t>
  </si>
  <si>
    <t>Arquivo Histórico</t>
  </si>
  <si>
    <t>Sistema de Gestão de Informação de Arquivo Histórico</t>
  </si>
  <si>
    <t>Archeevo</t>
  </si>
  <si>
    <t>arquivo.acad-ciencias.pt</t>
  </si>
  <si>
    <t>Keep Solutions</t>
  </si>
  <si>
    <t>Museu</t>
  </si>
  <si>
    <t>Sistema de Gestão de Informação de Museu</t>
  </si>
  <si>
    <t>MuseoAtlas</t>
  </si>
  <si>
    <t>museu.acad-ciencias.pt</t>
  </si>
  <si>
    <t>Dicionário Histórico-Biográfico</t>
  </si>
  <si>
    <t>Serviço em linha</t>
  </si>
  <si>
    <t>WordPress / LeXmart</t>
  </si>
  <si>
    <t>dhb.acad-ciencias.pt</t>
  </si>
  <si>
    <t>Gerido pelo ILLLP</t>
  </si>
  <si>
    <t>Dicionário de Língua Portuguesa</t>
  </si>
  <si>
    <t>LeXmart</t>
  </si>
  <si>
    <t>dicionario.acad-ciencias.pt</t>
  </si>
  <si>
    <t>Vocabulário</t>
  </si>
  <si>
    <t>Joomla!</t>
  </si>
  <si>
    <t>vocabulario.acad-ciencias.pt</t>
  </si>
  <si>
    <t>Acervo Lexicográfico</t>
  </si>
  <si>
    <t>Joomla + YOOtheme Pro</t>
  </si>
  <si>
    <t>https://acervolexicografico.acad-ciencias.pt/</t>
  </si>
  <si>
    <t>a confirmar...</t>
  </si>
  <si>
    <t>Confirmar responsabilidade, HTTPS, duplicação HTML e manutenção.</t>
  </si>
  <si>
    <t>Objetos Digitais</t>
  </si>
  <si>
    <t>Museu/Modelos Anatómicos</t>
  </si>
  <si>
    <t>Conteúdo (obra) em linha - está integrada numa cópia desatualizada do "site" da ACL</t>
  </si>
  <si>
    <t>IST/servidor antigo</t>
  </si>
  <si>
    <t>Museu/Galeria ARF</t>
  </si>
  <si>
    <t>galeria-arf-acad-ciencias.pt</t>
  </si>
  <si>
    <t>o DNS é estranho... clarificar onde está isto alojado!!!</t>
  </si>
  <si>
    <t>DNS alojado na FCCN</t>
  </si>
  <si>
    <t>Museu/Visita 3D</t>
  </si>
  <si>
    <t>visita 3D à ACL</t>
  </si>
  <si>
    <t>Matterport</t>
  </si>
  <si>
    <t>visita3d.acad-ciencias.pt</t>
  </si>
  <si>
    <t>Desenvolvido por NovaLINCS (tecnologia Matterport)</t>
  </si>
  <si>
    <t>o URL é da ACL, mas o conteúdo 3D está em tecnologia Matterport (https://matterport.com/), não sendo claro onde está o objeto em si (e consequentemente se pode ser tornado independente disso). Analisar e perceber isto melhor...</t>
  </si>
  <si>
    <t>reiniões e seminários da ACL</t>
  </si>
  <si>
    <t>YouTube</t>
  </si>
  <si>
    <t>youtube.com/user/academialx</t>
  </si>
  <si>
    <t>Google / YouTube</t>
  </si>
  <si>
    <t>Gratuito</t>
  </si>
  <si>
    <t>Criar mirror no Educast (FCCN) e storage local + parceria com FCCN/Arquivo.pt</t>
  </si>
  <si>
    <t>Software (Fornecedor)</t>
  </si>
  <si>
    <r>
      <rPr>
        <u/>
        <sz val="10"/>
        <color rgb="FF1155CC"/>
        <rFont val="Arial"/>
        <family val="2"/>
      </rPr>
      <t>dominios.pt</t>
    </r>
    <r>
      <rPr>
        <sz val="10"/>
        <color rgb="FF1F1F1F"/>
        <rFont val="Arial"/>
        <family val="2"/>
      </rPr>
      <t xml:space="preserve"> (cloud)</t>
    </r>
  </si>
  <si>
    <t>Responsável</t>
  </si>
  <si>
    <t>Editores</t>
  </si>
  <si>
    <t>(Recolha 20/01/2026)</t>
  </si>
  <si>
    <t>Year</t>
  </si>
  <si>
    <t>POSTS</t>
  </si>
  <si>
    <t>Type</t>
  </si>
  <si>
    <t>Quantity</t>
  </si>
  <si>
    <t>Category</t>
  </si>
  <si>
    <t>Nº Posts</t>
  </si>
  <si>
    <t>Image</t>
  </si>
  <si>
    <t>NOTÍCIAS</t>
  </si>
  <si>
    <t>PDF</t>
  </si>
  <si>
    <t>PRÉMIOS</t>
  </si>
  <si>
    <t>x-font-woff</t>
  </si>
  <si>
    <t>OUTROS EVENTOS</t>
  </si>
  <si>
    <t>DOC/WORD</t>
  </si>
  <si>
    <t>CONFERÊNCIAS</t>
  </si>
  <si>
    <t>zip</t>
  </si>
  <si>
    <t>Recrutamento</t>
  </si>
  <si>
    <t>Video</t>
  </si>
  <si>
    <t>Documento</t>
  </si>
  <si>
    <t xml:space="preserve">Total </t>
  </si>
  <si>
    <t>csv</t>
  </si>
  <si>
    <t>SESSÕES ACADÉMICAS</t>
  </si>
  <si>
    <t>TODOS OS EVENTOS</t>
  </si>
  <si>
    <t>Meter tudo por ano</t>
  </si>
  <si>
    <t>mindPrisma (Mind)</t>
  </si>
  <si>
    <t>Máquina Virtual Local (Windows)</t>
  </si>
  <si>
    <t>Total Registos</t>
  </si>
  <si>
    <t>(Recolha 08/05/2026)</t>
  </si>
  <si>
    <t>Categoria</t>
  </si>
  <si>
    <t>Filtro</t>
  </si>
  <si>
    <t>Quantidade</t>
  </si>
  <si>
    <t>Total</t>
  </si>
  <si>
    <t>Bibliotecas</t>
  </si>
  <si>
    <t>Monografias</t>
  </si>
  <si>
    <t>Livro Antigo</t>
  </si>
  <si>
    <t>Manuscritos</t>
  </si>
  <si>
    <t>Iconografia</t>
  </si>
  <si>
    <t>Periódicos</t>
  </si>
  <si>
    <t>Arquivo</t>
  </si>
  <si>
    <t>Tipo de Documento</t>
  </si>
  <si>
    <t>Texto</t>
  </si>
  <si>
    <t>Manuscrito</t>
  </si>
  <si>
    <t>Imagem</t>
  </si>
  <si>
    <t>Documento electrónico</t>
  </si>
  <si>
    <t>Cartografia</t>
  </si>
  <si>
    <t>Música</t>
  </si>
  <si>
    <t>Multimédia</t>
  </si>
  <si>
    <t>Partituras</t>
  </si>
  <si>
    <t>Documento sonoro</t>
  </si>
  <si>
    <t>Manuscrito (cartografia)</t>
  </si>
  <si>
    <t>Objecto</t>
  </si>
  <si>
    <t>Nível Bibliográfico</t>
  </si>
  <si>
    <t>Monografia</t>
  </si>
  <si>
    <t>Analítico</t>
  </si>
  <si>
    <t>Série</t>
  </si>
  <si>
    <t>Miscelânea</t>
  </si>
  <si>
    <t>Recurso integrante</t>
  </si>
  <si>
    <t>Autor</t>
  </si>
  <si>
    <t>Convento de Nossa Senhora de Jesus de Lisboa</t>
  </si>
  <si>
    <t>Ordem Terceira de S. Francisco, Convento de Nossa Senhora de Jesus de Lisboa</t>
  </si>
  <si>
    <t>Academia das Ciências de Lisboa</t>
  </si>
  <si>
    <t>Convento de N. S. de Jesus</t>
  </si>
  <si>
    <t>Ordem Terceira de S. Francisco, Convento de N. S. de Jesus</t>
  </si>
  <si>
    <t>Tipografia</t>
  </si>
  <si>
    <t>Convento de N. S. de Jesus de Lisboa</t>
  </si>
  <si>
    <t>Ordem Terceira de S. Francisco. Convento de N. S. de Jesus de Lisboa</t>
  </si>
  <si>
    <t>Ordem Terceira de São Francisco. Convento de Nossa Senhora de Jesus de Lisboa</t>
  </si>
  <si>
    <t>Pereira, Francisco Maria Esteves, 1854-1924</t>
  </si>
  <si>
    <t>Montenegro, Artur Pinto de Miranda, 1871-1941</t>
  </si>
  <si>
    <t>Salgado, Vicente, 1732-1802, O.F.M.</t>
  </si>
  <si>
    <t>Colégio de Évora</t>
  </si>
  <si>
    <t>Companhia de Jesus. Colégio de Évora</t>
  </si>
  <si>
    <t>Régia Oficina Tipográfica</t>
  </si>
  <si>
    <t>Faltam dados mas não consegui recolher todos</t>
  </si>
  <si>
    <t>Data</t>
  </si>
  <si>
    <t>[19--]</t>
  </si>
  <si>
    <t>[17--]</t>
  </si>
  <si>
    <t>17--</t>
  </si>
  <si>
    <t>[18--]</t>
  </si>
  <si>
    <t>[s.d.]</t>
  </si>
  <si>
    <t>19--</t>
  </si>
  <si>
    <t>Editor</t>
  </si>
  <si>
    <t>[s.n.]</t>
  </si>
  <si>
    <t>s.n.</t>
  </si>
  <si>
    <t>Imprensa Nacional</t>
  </si>
  <si>
    <t>Typographia da Academia</t>
  </si>
  <si>
    <t>Na Regia Officina Typografica</t>
  </si>
  <si>
    <t>Imprensa Nacional-Casa da Moeda</t>
  </si>
  <si>
    <t>Na Typografia da mesma Academia.</t>
  </si>
  <si>
    <t>Imprensa da Universidade</t>
  </si>
  <si>
    <t>Na Impressão Regia</t>
  </si>
  <si>
    <t>Academia das Ciências</t>
  </si>
  <si>
    <t>Câmara Municipal</t>
  </si>
  <si>
    <t>Fundação Calouste Gulbenkian</t>
  </si>
  <si>
    <t>Coleção</t>
  </si>
  <si>
    <t>Opúsculos</t>
  </si>
  <si>
    <t>Publicações do II Centenário da Academia das Ciências de Lisboa</t>
  </si>
  <si>
    <t>Colecção Cronológica</t>
  </si>
  <si>
    <t>Universidade Aberta</t>
  </si>
  <si>
    <t>Memórias da Academia das Ciências de Lisboa</t>
  </si>
  <si>
    <t>Temas portugueses</t>
  </si>
  <si>
    <t>Camoniana</t>
  </si>
  <si>
    <t>Biblioteca de Altos Estudos</t>
  </si>
  <si>
    <t>Flora de Moçambique</t>
  </si>
  <si>
    <t>Biblioteca breve</t>
  </si>
  <si>
    <t>Biblioteca de Autores Portugueses</t>
  </si>
  <si>
    <t>Acta Universitatis Conimbrigensis</t>
  </si>
  <si>
    <t>Textos Universitários de Ciências Sociais e Humanas</t>
  </si>
  <si>
    <t>Portuguese question</t>
  </si>
  <si>
    <t>Textos Clássicos</t>
  </si>
  <si>
    <t>Assunto</t>
  </si>
  <si>
    <t>História</t>
  </si>
  <si>
    <t>Portugal</t>
  </si>
  <si>
    <t>Sermões</t>
  </si>
  <si>
    <t>Poesia</t>
  </si>
  <si>
    <t>[Biografias]</t>
  </si>
  <si>
    <t>Romance</t>
  </si>
  <si>
    <t>Literatura</t>
  </si>
  <si>
    <t>Brasil</t>
  </si>
  <si>
    <t>Homenagem</t>
  </si>
  <si>
    <t>Política</t>
  </si>
  <si>
    <t>Oratória</t>
  </si>
  <si>
    <t>França</t>
  </si>
  <si>
    <t>Espanha</t>
  </si>
  <si>
    <t>Filosofia</t>
  </si>
  <si>
    <t>Correspondência</t>
  </si>
  <si>
    <t>Forma do Assunto</t>
  </si>
  <si>
    <t>Estudos</t>
  </si>
  <si>
    <t>Biografias</t>
  </si>
  <si>
    <t>Dicionários</t>
  </si>
  <si>
    <t>Fotografias</t>
  </si>
  <si>
    <t>Manuais</t>
  </si>
  <si>
    <t>Gravuras</t>
  </si>
  <si>
    <t>Catálogos</t>
  </si>
  <si>
    <t>Ensaios</t>
  </si>
  <si>
    <t>Discursos</t>
  </si>
  <si>
    <t>Conferências</t>
  </si>
  <si>
    <t>Comunicações</t>
  </si>
  <si>
    <t>Bibliografias</t>
  </si>
  <si>
    <t>Vocabulários</t>
  </si>
  <si>
    <t>Dissertações</t>
  </si>
  <si>
    <t>Língua</t>
  </si>
  <si>
    <t>Português</t>
  </si>
  <si>
    <t>Latim</t>
  </si>
  <si>
    <t>Francês</t>
  </si>
  <si>
    <t>Espanhol</t>
  </si>
  <si>
    <t>Inglês</t>
  </si>
  <si>
    <t>Italiano</t>
  </si>
  <si>
    <t>Alemão</t>
  </si>
  <si>
    <t>Grego antigo (até 1453)</t>
  </si>
  <si>
    <t>Árabe</t>
  </si>
  <si>
    <t>Hebraico</t>
  </si>
  <si>
    <t>Grego moderno</t>
  </si>
  <si>
    <t>Galego</t>
  </si>
  <si>
    <t>Holandês</t>
  </si>
  <si>
    <t>Sânscrito</t>
  </si>
  <si>
    <t>Chinês</t>
  </si>
  <si>
    <t>Multilingue</t>
  </si>
  <si>
    <t>Sueco</t>
  </si>
  <si>
    <t>Amharique</t>
  </si>
  <si>
    <t>Catalão</t>
  </si>
  <si>
    <t>Esperanto</t>
  </si>
  <si>
    <t>Russo</t>
  </si>
  <si>
    <t>Indeterminada (língua)</t>
  </si>
  <si>
    <t>Francês de transição (circa 1400-1600)</t>
  </si>
  <si>
    <t>Francês antigo (circa 842-1400)</t>
  </si>
  <si>
    <t>Japonês</t>
  </si>
  <si>
    <t>Inglês (inglês antigo)</t>
  </si>
  <si>
    <t>Arménio</t>
  </si>
  <si>
    <t>Húngaro</t>
  </si>
  <si>
    <t>Ladino</t>
  </si>
  <si>
    <t>Letão</t>
  </si>
  <si>
    <t>Persa antigo (-600/-400)</t>
  </si>
  <si>
    <t>Akkadien</t>
  </si>
  <si>
    <t>Hindi</t>
  </si>
  <si>
    <t>Norueguês</t>
  </si>
  <si>
    <t>Polaco</t>
  </si>
  <si>
    <t>Romeno</t>
  </si>
  <si>
    <t>Albanês</t>
  </si>
  <si>
    <t>Crioulas e pidgins (línguas baseadas no português)</t>
  </si>
  <si>
    <t>Crioulas e pidgins (outras línguas)</t>
  </si>
  <si>
    <t>Estónio</t>
  </si>
  <si>
    <t>Finlandês</t>
  </si>
  <si>
    <t>Georgiano</t>
  </si>
  <si>
    <t>Judeo-árabe</t>
  </si>
  <si>
    <t>Moldávio</t>
  </si>
  <si>
    <t>Nahuatlan</t>
  </si>
  <si>
    <t>Persa moderno</t>
  </si>
  <si>
    <t>Provençal (até 1500)</t>
  </si>
  <si>
    <t>Esloveno</t>
  </si>
  <si>
    <t>Público-alvo</t>
  </si>
  <si>
    <t>Adulto</t>
  </si>
  <si>
    <t>Especializado</t>
  </si>
  <si>
    <t>Jovem</t>
  </si>
  <si>
    <t>Dos 9-14 anos</t>
  </si>
  <si>
    <t>Juvenil</t>
  </si>
  <si>
    <t>Desconhecido</t>
  </si>
  <si>
    <t>Dos 5-10 anos</t>
  </si>
  <si>
    <t>Archeevo (Keep Solutions)</t>
  </si>
  <si>
    <t>Máquina Virtual Local (VMware)</t>
  </si>
  <si>
    <t>Responsáveis</t>
  </si>
  <si>
    <t>Total cada Categoria</t>
  </si>
  <si>
    <t>Nível de Descrição</t>
  </si>
  <si>
    <t>Fundo</t>
  </si>
  <si>
    <t>Secção</t>
  </si>
  <si>
    <t>Subsecção</t>
  </si>
  <si>
    <t>Subsérie</t>
  </si>
  <si>
    <t>Unidade de instalação</t>
  </si>
  <si>
    <t>Processo</t>
  </si>
  <si>
    <t>Documento composto</t>
  </si>
  <si>
    <t>Documento simples</t>
  </si>
  <si>
    <t>Sem objetos digitais</t>
  </si>
  <si>
    <t>Com objetos digitais</t>
  </si>
  <si>
    <t>Idioma e Escrita</t>
  </si>
  <si>
    <t>port</t>
  </si>
  <si>
    <t>russ</t>
  </si>
  <si>
    <t>arab</t>
  </si>
  <si>
    <t>alema</t>
  </si>
  <si>
    <t>latim</t>
  </si>
  <si>
    <t>espanhol</t>
  </si>
  <si>
    <t>ingles</t>
  </si>
  <si>
    <t>italian</t>
  </si>
  <si>
    <t>franc</t>
  </si>
  <si>
    <t>portugu</t>
  </si>
  <si>
    <t>Nota: Existem dados desde 1710 até 2026</t>
  </si>
  <si>
    <t>MuseoAtlas (Keep Solutions)</t>
  </si>
  <si>
    <t>Edição</t>
  </si>
  <si>
    <t>Tipo de património</t>
  </si>
  <si>
    <t>Material móvel</t>
  </si>
  <si>
    <t>Onomástico</t>
  </si>
  <si>
    <t>Categorias/Tipologias</t>
  </si>
  <si>
    <t>Fotografia</t>
  </si>
  <si>
    <t>Retrato</t>
  </si>
  <si>
    <t>Fotografia documental</t>
  </si>
  <si>
    <t>Fotografia arquitectónica</t>
  </si>
  <si>
    <t>Fotógrafo</t>
  </si>
  <si>
    <t>Pintor</t>
  </si>
  <si>
    <t>Pintura</t>
  </si>
  <si>
    <t>Coleções</t>
  </si>
  <si>
    <t>Pintura, Desenho e Gravura</t>
  </si>
  <si>
    <t>Autores</t>
  </si>
  <si>
    <t>Joaquim Manuel da Rocha (1727-1786)</t>
  </si>
  <si>
    <t>João Francisco Camacho (1833-1898)</t>
  </si>
  <si>
    <t>Júlio Novaes (1867-1925)</t>
  </si>
  <si>
    <t>Localidades</t>
  </si>
  <si>
    <t>Lisboa</t>
  </si>
  <si>
    <t>Dashboard Geral — Levantamento ACL</t>
  </si>
  <si>
    <t>Resumo estatístico dos sistemas, serviços, contactos e registos.</t>
  </si>
  <si>
    <t>Serviços mapeados</t>
  </si>
  <si>
    <t>Contactos</t>
  </si>
  <si>
    <t>Infraestruturas</t>
  </si>
  <si>
    <t>Registos Museu</t>
  </si>
  <si>
    <t>Posts website</t>
  </si>
  <si>
    <t>Ficheiros website</t>
  </si>
  <si>
    <t>Registos Biblioteca</t>
  </si>
  <si>
    <t>Registos Arquivo</t>
  </si>
  <si>
    <t>Sistema</t>
  </si>
  <si>
    <t>Dashboard Website Institucional</t>
  </si>
  <si>
    <t>Posts, ficheiros e categorias do WordPress ACL.</t>
  </si>
  <si>
    <t>Total posts</t>
  </si>
  <si>
    <t>Total ficheiros</t>
  </si>
  <si>
    <t>Imagens</t>
  </si>
  <si>
    <t>Categoria Notícias</t>
  </si>
  <si>
    <t>Dashboard Biblioteca Digital</t>
  </si>
  <si>
    <t>Distribuição dos registos no mindPrisma por categorias principais.</t>
  </si>
  <si>
    <t>Total registos</t>
  </si>
  <si>
    <t>Dashboard Arquivo Histórico</t>
  </si>
  <si>
    <t>Registos no Archeevo por nível, objetos digitais e idioma.</t>
  </si>
  <si>
    <t>% com objetos</t>
  </si>
  <si>
    <t>Dashboard Museu</t>
  </si>
  <si>
    <t>Registos do MuseoAtlas por património, tipologia, coleção e localidade.</t>
  </si>
  <si>
    <t>Dados de apoio aos dashboards</t>
  </si>
  <si>
    <t>Tabelas derivadas/ligadas às folhas originais.</t>
  </si>
  <si>
    <t>Indicador</t>
  </si>
  <si>
    <t>Valor</t>
  </si>
  <si>
    <t>Registos</t>
  </si>
  <si>
    <t>Website posts</t>
  </si>
  <si>
    <t>Website ficheiros</t>
  </si>
  <si>
    <t>Infraestruturas/Máquinas</t>
  </si>
  <si>
    <t>Ano</t>
  </si>
  <si>
    <t>Posts</t>
  </si>
  <si>
    <t>Tipo de ficheiro</t>
  </si>
  <si>
    <t>dominios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</si>
</sst>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0"/>
      <color rgb="FF000000"/>
      <name val="Arial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155CC"/>
      <name val="Arial"/>
      <family val="2"/>
    </font>
    <font>
      <sz val="10"/>
      <color rgb="FF0000FF"/>
      <name val="Arial"/>
      <family val="2"/>
    </font>
    <font>
      <sz val="11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i/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0"/>
      <color rgb="FF1F4E78"/>
      <name val="Arial"/>
      <family val="2"/>
    </font>
    <font>
      <b/>
      <sz val="18"/>
      <color rgb="FF111827"/>
      <name val="Arial"/>
      <family val="2"/>
    </font>
    <font>
      <u/>
      <sz val="10"/>
      <color rgb="FF1155CC"/>
      <name val="Arial"/>
      <family val="2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C363A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CCCCCC"/>
      </patternFill>
    </fill>
    <fill>
      <patternFill patternType="solid">
        <fgColor rgb="FF666666"/>
      </patternFill>
    </fill>
    <fill>
      <patternFill patternType="solid">
        <fgColor rgb="FF93C47D"/>
      </patternFill>
    </fill>
    <fill>
      <patternFill patternType="solid">
        <fgColor rgb="FFCC00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/>
    <xf numFmtId="0" fontId="7" fillId="0" borderId="0" xfId="0" applyFont="1" applyAlignment="1">
      <alignment horizontal="left" wrapText="1"/>
    </xf>
    <xf numFmtId="0" fontId="3" fillId="4" borderId="1" xfId="0" applyFont="1" applyFill="1" applyBorder="1"/>
    <xf numFmtId="0" fontId="8" fillId="3" borderId="0" xfId="0" applyFont="1" applyFill="1" applyAlignment="1">
      <alignment vertical="center" wrapText="1"/>
    </xf>
    <xf numFmtId="0" fontId="11" fillId="3" borderId="0" xfId="0" applyFont="1" applyFill="1"/>
    <xf numFmtId="0" fontId="3" fillId="0" borderId="0" xfId="0" applyFont="1"/>
    <xf numFmtId="0" fontId="10" fillId="2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1" fillId="5" borderId="0" xfId="0" applyFont="1" applyFill="1"/>
    <xf numFmtId="0" fontId="3" fillId="5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3" borderId="1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2" xfId="0" applyFont="1" applyBorder="1"/>
    <xf numFmtId="0" fontId="3" fillId="6" borderId="1" xfId="0" applyFont="1" applyFill="1" applyBorder="1"/>
    <xf numFmtId="0" fontId="3" fillId="6" borderId="4" xfId="0" applyFont="1" applyFill="1" applyBorder="1"/>
    <xf numFmtId="0" fontId="8" fillId="3" borderId="0" xfId="0" applyFont="1" applyFill="1"/>
    <xf numFmtId="0" fontId="9" fillId="0" borderId="0" xfId="0" applyFont="1"/>
    <xf numFmtId="0" fontId="1" fillId="0" borderId="0" xfId="0" applyFont="1"/>
    <xf numFmtId="0" fontId="2" fillId="0" borderId="0" xfId="0" applyFont="1"/>
    <xf numFmtId="0" fontId="9" fillId="2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4" fillId="3" borderId="0" xfId="0" applyFont="1" applyFill="1"/>
    <xf numFmtId="49" fontId="3" fillId="2" borderId="1" xfId="0" applyNumberFormat="1" applyFont="1" applyFill="1" applyBorder="1" applyAlignment="1">
      <alignment wrapText="1"/>
    </xf>
    <xf numFmtId="0" fontId="14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3" fontId="14" fillId="9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18" fillId="2" borderId="1" xfId="0" applyFont="1" applyFill="1" applyBorder="1"/>
    <xf numFmtId="0" fontId="18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wrapText="1"/>
    </xf>
    <xf numFmtId="0" fontId="6" fillId="0" borderId="0" xfId="0" applyFont="1" applyAlignment="1">
      <alignment vertical="center" wrapText="1"/>
    </xf>
    <xf numFmtId="0" fontId="10" fillId="11" borderId="1" xfId="0" applyFont="1" applyFill="1" applyBorder="1"/>
    <xf numFmtId="0" fontId="3" fillId="11" borderId="1" xfId="0" applyFont="1" applyFill="1" applyBorder="1"/>
    <xf numFmtId="0" fontId="0" fillId="12" borderId="0" xfId="0" applyFill="1" applyAlignment="1">
      <alignment wrapText="1"/>
    </xf>
    <xf numFmtId="0" fontId="9" fillId="0" borderId="0" xfId="0" applyFont="1" applyAlignment="1">
      <alignment vertical="center" wrapText="1"/>
    </xf>
    <xf numFmtId="0" fontId="2" fillId="5" borderId="0" xfId="0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0" fillId="13" borderId="1" xfId="0" applyFill="1" applyBorder="1"/>
    <xf numFmtId="0" fontId="21" fillId="0" borderId="1" xfId="0" applyFont="1" applyBorder="1" applyAlignment="1">
      <alignment wrapText="1"/>
    </xf>
    <xf numFmtId="0" fontId="0" fillId="0" borderId="2" xfId="0" applyBorder="1"/>
    <xf numFmtId="0" fontId="0" fillId="0" borderId="4" xfId="0" applyBorder="1"/>
    <xf numFmtId="0" fontId="9" fillId="0" borderId="0" xfId="0" applyFont="1" applyAlignment="1">
      <alignment vertical="center" wrapText="1"/>
    </xf>
    <xf numFmtId="0" fontId="0" fillId="0" borderId="0" xfId="0"/>
    <xf numFmtId="0" fontId="2" fillId="5" borderId="0" xfId="0" applyFont="1" applyFill="1"/>
    <xf numFmtId="0" fontId="15" fillId="10" borderId="0" xfId="0" applyFont="1" applyFill="1" applyAlignment="1">
      <alignment horizontal="center" vertical="center" wrapText="1"/>
    </xf>
    <xf numFmtId="3" fontId="15" fillId="10" borderId="0" xfId="0" applyNumberFormat="1" applyFont="1" applyFill="1" applyAlignment="1">
      <alignment horizontal="center" vertical="center" wrapText="1"/>
    </xf>
    <xf numFmtId="1" fontId="16" fillId="11" borderId="0" xfId="0" applyNumberFormat="1" applyFon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3" fontId="13" fillId="8" borderId="0" xfId="0" applyNumberFormat="1" applyFont="1" applyFill="1" applyAlignment="1">
      <alignment horizontal="center" vertical="center"/>
    </xf>
    <xf numFmtId="164" fontId="16" fillId="11" borderId="0" xfId="0" applyNumberFormat="1" applyFont="1" applyFill="1" applyAlignment="1">
      <alignment horizontal="center" vertical="center"/>
    </xf>
    <xf numFmtId="0" fontId="10" fillId="0" borderId="1" xfId="0" applyFont="1" applyBorder="1"/>
    <xf numFmtId="0" fontId="3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8">
    <dxf>
      <font>
        <b val="0"/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'Dashboard Geral'!$A$14:$A$18</c:f>
              <c:strCache>
                <c:ptCount val="5"/>
                <c:pt idx="0">
                  <c:v>Website posts</c:v>
                </c:pt>
                <c:pt idx="1">
                  <c:v>Website ficheiros</c:v>
                </c:pt>
                <c:pt idx="2">
                  <c:v>Biblioteca</c:v>
                </c:pt>
                <c:pt idx="3">
                  <c:v>Arquivo</c:v>
                </c:pt>
                <c:pt idx="4">
                  <c:v>Museu</c:v>
                </c:pt>
              </c:strCache>
            </c:strRef>
          </c:cat>
          <c:val>
            <c:numRef>
              <c:f>'Dashboard Geral'!$B$14:$B$18</c:f>
              <c:numCache>
                <c:formatCode>#,##0</c:formatCode>
                <c:ptCount val="5"/>
                <c:pt idx="0">
                  <c:v>254</c:v>
                </c:pt>
                <c:pt idx="1">
                  <c:v>2547</c:v>
                </c:pt>
                <c:pt idx="2">
                  <c:v>70364</c:v>
                </c:pt>
                <c:pt idx="3">
                  <c:v>5275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7-4EBA-BEA4-F11933EFE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Posts</c:v>
          </c:tx>
          <c:invertIfNegative val="1"/>
          <c:cat>
            <c:numRef>
              <c:f>'Dashboard Website'!$A$10:$A$15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'Dashboard Website'!$B$10:$B$15</c:f>
              <c:numCache>
                <c:formatCode>#,##0</c:formatCode>
                <c:ptCount val="6"/>
                <c:pt idx="0">
                  <c:v>1</c:v>
                </c:pt>
                <c:pt idx="1">
                  <c:v>5</c:v>
                </c:pt>
                <c:pt idx="2">
                  <c:v>81</c:v>
                </c:pt>
                <c:pt idx="3">
                  <c:v>79</c:v>
                </c:pt>
                <c:pt idx="4">
                  <c:v>83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9-4D82-ADA8-A70736BF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Ficheiros</c:v>
          </c:tx>
          <c:invertIfNegative val="1"/>
          <c:cat>
            <c:strRef>
              <c:f>'Dashboard Website'!$A$28:$A$34</c:f>
              <c:strCache>
                <c:ptCount val="7"/>
                <c:pt idx="0">
                  <c:v>Image</c:v>
                </c:pt>
                <c:pt idx="1">
                  <c:v>PDF</c:v>
                </c:pt>
                <c:pt idx="2">
                  <c:v>x-font-woff</c:v>
                </c:pt>
                <c:pt idx="3">
                  <c:v>DOC/WORD</c:v>
                </c:pt>
                <c:pt idx="4">
                  <c:v>zip</c:v>
                </c:pt>
                <c:pt idx="5">
                  <c:v>Video</c:v>
                </c:pt>
                <c:pt idx="6">
                  <c:v>csv</c:v>
                </c:pt>
              </c:strCache>
            </c:strRef>
          </c:cat>
          <c:val>
            <c:numRef>
              <c:f>'Dashboard Website'!$B$28:$B$34</c:f>
              <c:numCache>
                <c:formatCode>#,##0</c:formatCode>
                <c:ptCount val="7"/>
                <c:pt idx="0">
                  <c:v>1908</c:v>
                </c:pt>
                <c:pt idx="1">
                  <c:v>627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A-4283-AC2F-4CD2D97CF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Posts</c:v>
          </c:tx>
          <c:invertIfNegative val="1"/>
          <c:cat>
            <c:strRef>
              <c:f>'Dashboard Website'!$A$46:$A$53</c:f>
              <c:strCache>
                <c:ptCount val="8"/>
                <c:pt idx="0">
                  <c:v>NOTÍCIAS</c:v>
                </c:pt>
                <c:pt idx="1">
                  <c:v>PRÉMIOS</c:v>
                </c:pt>
                <c:pt idx="2">
                  <c:v>OUTROS EVENTOS</c:v>
                </c:pt>
                <c:pt idx="3">
                  <c:v>CONFERÊNCIAS</c:v>
                </c:pt>
                <c:pt idx="4">
                  <c:v>Recrutamento</c:v>
                </c:pt>
                <c:pt idx="5">
                  <c:v>Documento</c:v>
                </c:pt>
                <c:pt idx="6">
                  <c:v>SESSÕES ACADÉMICAS</c:v>
                </c:pt>
                <c:pt idx="7">
                  <c:v>TODOS OS EVENTOS</c:v>
                </c:pt>
              </c:strCache>
            </c:strRef>
          </c:cat>
          <c:val>
            <c:numRef>
              <c:f>'Dashboard Website'!$B$46:$B$53</c:f>
              <c:numCache>
                <c:formatCode>#,##0</c:formatCode>
                <c:ptCount val="8"/>
                <c:pt idx="0">
                  <c:v>245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5-48C0-99E8-A667EF281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Biblioteca'!$A$10:$A$15</c:f>
              <c:strCache>
                <c:ptCount val="6"/>
                <c:pt idx="0">
                  <c:v>Monografias</c:v>
                </c:pt>
                <c:pt idx="1">
                  <c:v>Livro Antigo</c:v>
                </c:pt>
                <c:pt idx="2">
                  <c:v>Manuscritos</c:v>
                </c:pt>
                <c:pt idx="3">
                  <c:v>Iconografia</c:v>
                </c:pt>
                <c:pt idx="4">
                  <c:v>Periódicos</c:v>
                </c:pt>
                <c:pt idx="5">
                  <c:v>Arquivo</c:v>
                </c:pt>
              </c:strCache>
            </c:strRef>
          </c:cat>
          <c:val>
            <c:numRef>
              <c:f>'Dashboard Biblioteca'!$B$10:$B$15</c:f>
              <c:numCache>
                <c:formatCode>#,##0</c:formatCode>
                <c:ptCount val="6"/>
                <c:pt idx="0">
                  <c:v>38728</c:v>
                </c:pt>
                <c:pt idx="1">
                  <c:v>26213</c:v>
                </c:pt>
                <c:pt idx="2">
                  <c:v>4503</c:v>
                </c:pt>
                <c:pt idx="3">
                  <c:v>813</c:v>
                </c:pt>
                <c:pt idx="4">
                  <c:v>111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E-401E-AF07-9C2998E0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Biblioteca'!$A$28:$A$37</c:f>
              <c:strCache>
                <c:ptCount val="10"/>
                <c:pt idx="0">
                  <c:v>Texto</c:v>
                </c:pt>
                <c:pt idx="1">
                  <c:v>Manuscrito</c:v>
                </c:pt>
                <c:pt idx="2">
                  <c:v>Imagem</c:v>
                </c:pt>
                <c:pt idx="3">
                  <c:v>Documento electrónico</c:v>
                </c:pt>
                <c:pt idx="4">
                  <c:v>Cartografia</c:v>
                </c:pt>
                <c:pt idx="5">
                  <c:v>Música</c:v>
                </c:pt>
                <c:pt idx="6">
                  <c:v>Multimédia</c:v>
                </c:pt>
                <c:pt idx="7">
                  <c:v>Partituras</c:v>
                </c:pt>
                <c:pt idx="8">
                  <c:v>Documento sonoro</c:v>
                </c:pt>
                <c:pt idx="9">
                  <c:v>Manuscrito (cartografia)</c:v>
                </c:pt>
              </c:strCache>
            </c:strRef>
          </c:cat>
          <c:val>
            <c:numRef>
              <c:f>'Dashboard Biblioteca'!$B$28:$B$37</c:f>
              <c:numCache>
                <c:formatCode>#,##0</c:formatCode>
                <c:ptCount val="10"/>
                <c:pt idx="0">
                  <c:v>60754</c:v>
                </c:pt>
                <c:pt idx="1">
                  <c:v>4619</c:v>
                </c:pt>
                <c:pt idx="2">
                  <c:v>856</c:v>
                </c:pt>
                <c:pt idx="3">
                  <c:v>129</c:v>
                </c:pt>
                <c:pt idx="4">
                  <c:v>61</c:v>
                </c:pt>
                <c:pt idx="5">
                  <c:v>29</c:v>
                </c:pt>
                <c:pt idx="6">
                  <c:v>11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1-4F5F-B028-00A95007B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Biblioteca'!$A$46:$A$55</c:f>
              <c:strCache>
                <c:ptCount val="10"/>
                <c:pt idx="0">
                  <c:v>Português</c:v>
                </c:pt>
                <c:pt idx="1">
                  <c:v>Latim</c:v>
                </c:pt>
                <c:pt idx="2">
                  <c:v>Francês</c:v>
                </c:pt>
                <c:pt idx="3">
                  <c:v>Espanhol</c:v>
                </c:pt>
                <c:pt idx="4">
                  <c:v>Inglês</c:v>
                </c:pt>
                <c:pt idx="5">
                  <c:v>Italiano</c:v>
                </c:pt>
                <c:pt idx="6">
                  <c:v>Alemão</c:v>
                </c:pt>
                <c:pt idx="7">
                  <c:v>Grego antigo (até 1453)</c:v>
                </c:pt>
                <c:pt idx="8">
                  <c:v>Árabe</c:v>
                </c:pt>
                <c:pt idx="9">
                  <c:v>Hebraico</c:v>
                </c:pt>
              </c:strCache>
            </c:strRef>
          </c:cat>
          <c:val>
            <c:numRef>
              <c:f>'Dashboard Biblioteca'!$B$46:$B$55</c:f>
              <c:numCache>
                <c:formatCode>#,##0</c:formatCode>
                <c:ptCount val="10"/>
                <c:pt idx="0">
                  <c:v>45783</c:v>
                </c:pt>
                <c:pt idx="1">
                  <c:v>11123</c:v>
                </c:pt>
                <c:pt idx="2">
                  <c:v>5612</c:v>
                </c:pt>
                <c:pt idx="3">
                  <c:v>3922</c:v>
                </c:pt>
                <c:pt idx="4">
                  <c:v>2326</c:v>
                </c:pt>
                <c:pt idx="5">
                  <c:v>1194</c:v>
                </c:pt>
                <c:pt idx="6">
                  <c:v>562</c:v>
                </c:pt>
                <c:pt idx="7">
                  <c:v>262</c:v>
                </c:pt>
                <c:pt idx="8">
                  <c:v>145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B7A-8112-5130E35FB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Arquivo'!$A$10:$A$19</c:f>
              <c:strCache>
                <c:ptCount val="10"/>
                <c:pt idx="0">
                  <c:v>Coleção</c:v>
                </c:pt>
                <c:pt idx="1">
                  <c:v>Fundo</c:v>
                </c:pt>
                <c:pt idx="2">
                  <c:v>Secção</c:v>
                </c:pt>
                <c:pt idx="3">
                  <c:v>Subsecção</c:v>
                </c:pt>
                <c:pt idx="4">
                  <c:v>Série</c:v>
                </c:pt>
                <c:pt idx="5">
                  <c:v>Subsérie</c:v>
                </c:pt>
                <c:pt idx="6">
                  <c:v>Unidade de instalação</c:v>
                </c:pt>
                <c:pt idx="7">
                  <c:v>Processo</c:v>
                </c:pt>
                <c:pt idx="8">
                  <c:v>Documento composto</c:v>
                </c:pt>
                <c:pt idx="9">
                  <c:v>Documento simples</c:v>
                </c:pt>
              </c:strCache>
            </c:strRef>
          </c:cat>
          <c:val>
            <c:numRef>
              <c:f>'Dashboard Arquivo'!$B$10:$B$19</c:f>
              <c:numCache>
                <c:formatCode>#,##0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14</c:v>
                </c:pt>
                <c:pt idx="3">
                  <c:v>11</c:v>
                </c:pt>
                <c:pt idx="4">
                  <c:v>169</c:v>
                </c:pt>
                <c:pt idx="5">
                  <c:v>7</c:v>
                </c:pt>
                <c:pt idx="6">
                  <c:v>168</c:v>
                </c:pt>
                <c:pt idx="7">
                  <c:v>2199</c:v>
                </c:pt>
                <c:pt idx="8">
                  <c:v>451</c:v>
                </c:pt>
                <c:pt idx="9">
                  <c:v>2251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E-4206-939F-FD27B7337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Arquivo'!$A$28:$A$29</c:f>
              <c:strCache>
                <c:ptCount val="2"/>
                <c:pt idx="0">
                  <c:v>Sem objetos digitais</c:v>
                </c:pt>
                <c:pt idx="1">
                  <c:v>Com objetos digitais</c:v>
                </c:pt>
              </c:strCache>
            </c:strRef>
          </c:cat>
          <c:val>
            <c:numRef>
              <c:f>'Dashboard Arquivo'!$B$28:$B$29</c:f>
              <c:numCache>
                <c:formatCode>#,##0</c:formatCode>
                <c:ptCount val="2"/>
                <c:pt idx="0">
                  <c:v>1980</c:v>
                </c:pt>
                <c:pt idx="1">
                  <c:v>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60A-9FCC-FE9FAA3A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Arquivo'!$A$46:$A$55</c:f>
              <c:strCache>
                <c:ptCount val="10"/>
                <c:pt idx="0">
                  <c:v>port</c:v>
                </c:pt>
                <c:pt idx="1">
                  <c:v>russ</c:v>
                </c:pt>
                <c:pt idx="2">
                  <c:v>arab</c:v>
                </c:pt>
                <c:pt idx="3">
                  <c:v>alema</c:v>
                </c:pt>
                <c:pt idx="4">
                  <c:v>latim</c:v>
                </c:pt>
                <c:pt idx="5">
                  <c:v>espanhol</c:v>
                </c:pt>
                <c:pt idx="6">
                  <c:v>ingles</c:v>
                </c:pt>
                <c:pt idx="7">
                  <c:v>italian</c:v>
                </c:pt>
                <c:pt idx="8">
                  <c:v>franc</c:v>
                </c:pt>
                <c:pt idx="9">
                  <c:v>portugu</c:v>
                </c:pt>
              </c:strCache>
            </c:strRef>
          </c:cat>
          <c:val>
            <c:numRef>
              <c:f>'Dashboard Arquivo'!$B$46:$B$55</c:f>
              <c:numCache>
                <c:formatCode>#,##0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18</c:v>
                </c:pt>
                <c:pt idx="4">
                  <c:v>19</c:v>
                </c:pt>
                <c:pt idx="5">
                  <c:v>24</c:v>
                </c:pt>
                <c:pt idx="6">
                  <c:v>43</c:v>
                </c:pt>
                <c:pt idx="7">
                  <c:v>48</c:v>
                </c:pt>
                <c:pt idx="8">
                  <c:v>146</c:v>
                </c:pt>
                <c:pt idx="9">
                  <c:v>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1-4D6D-B534-E614C9412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Museu'!$A$10:$A$11</c:f>
              <c:strCache>
                <c:ptCount val="2"/>
                <c:pt idx="0">
                  <c:v>Material móvel</c:v>
                </c:pt>
                <c:pt idx="1">
                  <c:v>Onomástico</c:v>
                </c:pt>
              </c:strCache>
            </c:strRef>
          </c:cat>
          <c:val>
            <c:numRef>
              <c:f>'Dashboard Museu'!$B$10:$B$11</c:f>
              <c:numCache>
                <c:formatCode>#,##0</c:formatCode>
                <c:ptCount val="2"/>
                <c:pt idx="0">
                  <c:v>272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D-4310-BBB7-347DAF46A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Museu'!$A$28:$A$34</c:f>
              <c:strCache>
                <c:ptCount val="7"/>
                <c:pt idx="0">
                  <c:v>Fotografia</c:v>
                </c:pt>
                <c:pt idx="1">
                  <c:v>Retrato</c:v>
                </c:pt>
                <c:pt idx="2">
                  <c:v>Fotografia documental</c:v>
                </c:pt>
                <c:pt idx="3">
                  <c:v>Fotografia arquitectónica</c:v>
                </c:pt>
                <c:pt idx="4">
                  <c:v>Fotógrafo</c:v>
                </c:pt>
                <c:pt idx="5">
                  <c:v>Pintor</c:v>
                </c:pt>
                <c:pt idx="6">
                  <c:v>Pintura</c:v>
                </c:pt>
              </c:strCache>
            </c:strRef>
          </c:cat>
          <c:val>
            <c:numRef>
              <c:f>'Dashboard Museu'!$B$28:$B$34</c:f>
              <c:numCache>
                <c:formatCode>#,##0</c:formatCode>
                <c:ptCount val="7"/>
                <c:pt idx="0">
                  <c:v>72</c:v>
                </c:pt>
                <c:pt idx="1">
                  <c:v>38</c:v>
                </c:pt>
                <c:pt idx="2">
                  <c:v>29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E-44EB-BAFB-8C2CB684C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Registos</c:v>
          </c:tx>
          <c:invertIfNegative val="1"/>
          <c:cat>
            <c:strRef>
              <c:f>'Dashboard Museu'!$A$46:$A$48</c:f>
              <c:strCache>
                <c:ptCount val="3"/>
                <c:pt idx="0">
                  <c:v>Tipografia</c:v>
                </c:pt>
                <c:pt idx="1">
                  <c:v>Fotografia</c:v>
                </c:pt>
                <c:pt idx="2">
                  <c:v>Pintura, Desenho e Gravura</c:v>
                </c:pt>
              </c:strCache>
            </c:strRef>
          </c:cat>
          <c:val>
            <c:numRef>
              <c:f>'Dashboard Museu'!$B$46:$B$48</c:f>
              <c:numCache>
                <c:formatCode>#,##0</c:formatCode>
                <c:ptCount val="3"/>
                <c:pt idx="0">
                  <c:v>199</c:v>
                </c:pt>
                <c:pt idx="1">
                  <c:v>72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3-4996-9838-396AA0FC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  <a:ext uri="{147F2762-F138-4A5C-976F-8EAC2B608ADB}">
              <a16:predDERef xmlns:a16="http://schemas.microsoft.com/office/drawing/2014/main" pre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  <a:ext uri="{147F2762-F138-4A5C-976F-8EAC2B608ADB}">
              <a16:predDERef xmlns:a16="http://schemas.microsoft.com/office/drawing/2014/main" pre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  <a:ext uri="{147F2762-F138-4A5C-976F-8EAC2B608ADB}">
              <a16:predDERef xmlns:a16="http://schemas.microsoft.com/office/drawing/2014/main" pre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  <a:ext uri="{147F2762-F138-4A5C-976F-8EAC2B608ADB}">
              <a16:predDERef xmlns:a16="http://schemas.microsoft.com/office/drawing/2014/main" pre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  <a:ext uri="{147F2762-F138-4A5C-976F-8EAC2B608ADB}">
              <a16:predDERef xmlns:a16="http://schemas.microsoft.com/office/drawing/2014/main" pre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  <a:ext uri="{147F2762-F138-4A5C-976F-8EAC2B608ADB}">
              <a16:predDERef xmlns:a16="http://schemas.microsoft.com/office/drawing/2014/main" pre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C00-000004000000}"/>
            </a:ext>
            <a:ext uri="{147F2762-F138-4A5C-976F-8EAC2B608ADB}">
              <a16:predDERef xmlns:a16="http://schemas.microsoft.com/office/drawing/2014/main" pre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L" displayName="ACL" ref="A1:E14" headerRowDxfId="7" dataDxfId="6" totalsRowDxfId="5">
  <tableColumns count="5">
    <tableColumn id="1" xr3:uid="{00000000-0010-0000-0000-000001000000}" name="Nome" dataDxfId="4"/>
    <tableColumn id="2" xr3:uid="{00000000-0010-0000-0000-000002000000}" name="Cargo" dataDxfId="3"/>
    <tableColumn id="3" xr3:uid="{00000000-0010-0000-0000-000003000000}" name="E-mail" dataDxfId="2"/>
    <tableColumn id="4" xr3:uid="{00000000-0010-0000-0000-000004000000}" name="Aplicações" dataDxfId="1"/>
    <tableColumn id="5" xr3:uid="{00000000-0010-0000-0000-000005000000}" name="Responsabilidades / Observações" dataDxfId="0"/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zoomScaleSheetLayoutView="100" workbookViewId="0">
      <selection activeCell="G3" sqref="G3"/>
    </sheetView>
  </sheetViews>
  <sheetFormatPr baseColWidth="10" defaultColWidth="12.5" defaultRowHeight="13"/>
  <cols>
    <col min="1" max="1" width="20.1640625" customWidth="1"/>
    <col min="2" max="2" width="16.83203125" customWidth="1"/>
    <col min="3" max="3" width="23" customWidth="1"/>
    <col min="4" max="4" width="22.5" customWidth="1"/>
    <col min="5" max="5" width="38.5" customWidth="1"/>
    <col min="6" max="6" width="60.33203125" customWidth="1"/>
  </cols>
  <sheetData>
    <row r="1" spans="1:6" ht="14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ht="24" customHeight="1">
      <c r="A2" s="43" t="s">
        <v>6</v>
      </c>
      <c r="B2" s="44" t="s">
        <v>7</v>
      </c>
      <c r="C2" s="44" t="s">
        <v>8</v>
      </c>
      <c r="D2" s="44" t="inlineStr">
        <is>
          <t xml:space="preserve">ERLOG</t>
        </is>
      </c>
      <c r="E2" s="44" t="s">
        <v>9</v>
      </c>
      <c r="F2" s="44"/>
    </row>
    <row r="3" spans="1:6" ht="29.25" customHeight="1">
      <c r="A3" s="43" t="s">
        <v>10</v>
      </c>
      <c r="B3" s="44" t="s">
        <v>11</v>
      </c>
      <c r="C3" s="44" t="s">
        <v>8</v>
      </c>
      <c r="D3" s="44" t="inlineStr">
        <is>
          <t xml:space="preserve">ERLOG</t>
        </is>
      </c>
      <c r="E3" s="44" t="s">
        <v>12</v>
      </c>
      <c r="F3" s="44"/>
    </row>
    <row r="4" spans="1:6" ht="45.75" customHeight="1">
      <c r="A4" s="43" t="s">
        <v>13</v>
      </c>
      <c r="B4" s="44" t="s">
        <v>14</v>
      </c>
      <c r="C4" s="44" t="s">
        <v>15</v>
      </c>
      <c r="D4" s="44" t="s">
        <v>16</v>
      </c>
      <c r="E4" s="44" t="s">
        <v>17</v>
      </c>
      <c r="F4" s="44" t="s">
        <v>18</v>
      </c>
    </row>
    <row r="5" spans="1:6" ht="26.25" customHeight="1">
      <c r="A5" s="43" t="s">
        <v>19</v>
      </c>
      <c r="B5" s="44" t="s">
        <v>20</v>
      </c>
      <c r="C5" s="44" t="inlineStr">
        <is>
          <t xml:space="preserve">IST (IP: [CENSURADO])</t>
        </is>
      </c>
      <c r="D5" s="44" t="inlineStr">
        <is>
          <t xml:space="preserve">DSI do IST</t>
        </is>
      </c>
      <c r="E5" s="44" t="s">
        <v>21</v>
      </c>
      <c r="F5" s="44" t="inlineStr">
        <is>
          <t xml:space="preserve">Recuperar acesso ao site. [Nota interna censurada]. Já recuperado, falta adicionar à ACL.</t>
        </is>
      </c>
    </row>
    <row r="6" spans="1:6" ht="25.5" customHeight="1">
      <c r="A6" s="43" t="s">
        <v>22</v>
      </c>
      <c r="B6" s="44" t="s">
        <v>23</v>
      </c>
      <c r="C6" s="44" t="s">
        <v>23</v>
      </c>
      <c r="D6" s="44" t="s">
        <v>24</v>
      </c>
      <c r="E6" s="44" t="s">
        <v>25</v>
      </c>
      <c r="F6" s="44" t="s">
        <v>26</v>
      </c>
    </row>
    <row r="7" spans="1:6" ht="27" customHeight="1">
      <c r="A7" s="43" t="s">
        <v>27</v>
      </c>
      <c r="B7" s="44" t="s">
        <v>14</v>
      </c>
      <c r="C7" s="44" t="s">
        <v>27</v>
      </c>
      <c r="D7" s="44" t="s">
        <v>27</v>
      </c>
      <c r="E7" s="44" t="s">
        <v>28</v>
      </c>
      <c r="F7" s="4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zoomScaleSheetLayoutView="100" workbookViewId="0">
      <selection activeCell="C19" sqref="C19"/>
    </sheetView>
  </sheetViews>
  <sheetFormatPr baseColWidth="10" defaultColWidth="12.5" defaultRowHeight="13"/>
  <cols>
    <col min="1" max="1" width="23.5" customWidth="1"/>
    <col min="2" max="2" width="29.83203125" customWidth="1"/>
    <col min="3" max="3" width="30.5" customWidth="1"/>
    <col min="4" max="4" width="36.6640625" customWidth="1"/>
    <col min="5" max="5" width="103" customWidth="1"/>
  </cols>
  <sheetData>
    <row r="1" spans="1:5" ht="22.5" customHeight="1">
      <c r="A1" s="45" t="s">
        <v>30</v>
      </c>
      <c r="B1" s="45" t="s">
        <v>31</v>
      </c>
      <c r="C1" s="45" t="s">
        <v>32</v>
      </c>
      <c r="D1" s="45" t="s">
        <v>33</v>
      </c>
      <c r="E1" s="45" t="s">
        <v>34</v>
      </c>
    </row>
    <row r="2" spans="1:5" ht="22.5" customHeight="1">
      <c r="A2" s="46" t="inlineStr">
        <is>
          <t xml:space="preserve">[CENSURADO]</t>
        </is>
      </c>
      <c r="B2" s="46" t="s">
        <v>35</v>
      </c>
      <c r="C2" s="46" t="inlineStr">
        <is>
          <t xml:space="preserve">[CENSURADO]</t>
        </is>
      </c>
      <c r="D2" s="46" t="s">
        <v>23</v>
      </c>
      <c r="E2" s="46" t="s">
        <v>36</v>
      </c>
    </row>
    <row r="3" spans="1:5" ht="22.5" customHeight="1">
      <c r="A3" s="46" t="inlineStr">
        <is>
          <t xml:space="preserve">[CENSURADO]</t>
        </is>
      </c>
      <c r="B3" s="46" t="s">
        <v>37</v>
      </c>
      <c r="C3" s="46" t="inlineStr">
        <is>
          <t xml:space="preserve">[CENSURADO]</t>
        </is>
      </c>
      <c r="D3" s="46" t="s">
        <v>23</v>
      </c>
      <c r="E3" s="46" t="s">
        <v>38</v>
      </c>
    </row>
    <row r="4" spans="1:5" ht="22.5" customHeight="1">
      <c r="A4" s="46" t="inlineStr">
        <is>
          <t xml:space="preserve">[CENSURADO]</t>
        </is>
      </c>
      <c r="B4" s="46" t="s">
        <v>39</v>
      </c>
      <c r="C4" s="46" t="inlineStr">
        <is>
          <t xml:space="preserve">[CENSURADO]</t>
        </is>
      </c>
      <c r="D4" s="46" t="s">
        <v>23</v>
      </c>
      <c r="E4" s="46" t="s">
        <v>40</v>
      </c>
    </row>
    <row r="5" spans="1:5" ht="22.5" customHeight="1">
      <c r="A5" s="46" t="inlineStr">
        <is>
          <t xml:space="preserve">[CENSURADO]</t>
        </is>
      </c>
      <c r="B5" s="46" t="s">
        <v>41</v>
      </c>
      <c r="C5" s="46" t="inlineStr">
        <is>
          <t xml:space="preserve">[CENSURADO]</t>
        </is>
      </c>
      <c r="D5" s="46" t="s">
        <v>42</v>
      </c>
      <c r="E5" s="46" t="s">
        <v>43</v>
      </c>
    </row>
    <row r="6" spans="1:5" ht="22.5" customHeight="1">
      <c r="A6" s="46" t="inlineStr">
        <is>
          <t xml:space="preserve">[CENSURADO]</t>
        </is>
      </c>
      <c r="B6" s="46" t="s">
        <v>44</v>
      </c>
      <c r="C6" s="46" t="inlineStr">
        <is>
          <t xml:space="preserve">[CENSURADO]</t>
        </is>
      </c>
      <c r="D6" s="46" t="s">
        <v>45</v>
      </c>
      <c r="E6" s="46" t="s">
        <v>46</v>
      </c>
    </row>
    <row r="7" spans="1:5" ht="22.5" customHeight="1">
      <c r="A7" s="46" t="inlineStr">
        <is>
          <t xml:space="preserve">[CENSURADO]</t>
        </is>
      </c>
      <c r="B7" s="46" t="s">
        <v>47</v>
      </c>
      <c r="C7" s="46" t="inlineStr">
        <is>
          <t xml:space="preserve">[CENSURADO]</t>
        </is>
      </c>
      <c r="D7" s="46" t="s">
        <v>48</v>
      </c>
      <c r="E7" s="46" t="s">
        <v>48</v>
      </c>
    </row>
    <row r="8" spans="1:5" ht="22.5" customHeight="1">
      <c r="A8" s="46" t="inlineStr">
        <is>
          <t xml:space="preserve">[CENSURADO]</t>
        </is>
      </c>
      <c r="B8" s="46" t="s">
        <v>49</v>
      </c>
      <c r="C8" s="46" t="inlineStr">
        <is>
          <t xml:space="preserve">[CENSURADO]</t>
        </is>
      </c>
      <c r="D8" s="46" t="s">
        <v>50</v>
      </c>
      <c r="E8" s="46" t="s">
        <v>51</v>
      </c>
    </row>
    <row r="9" spans="1:5" ht="22.5" customHeight="1">
      <c r="A9" s="46" t="inlineStr">
        <is>
          <t xml:space="preserve">[CENSURADO]</t>
        </is>
      </c>
      <c r="B9" s="46" t="s">
        <v>52</v>
      </c>
      <c r="C9" s="46" t="inlineStr">
        <is>
          <t xml:space="preserve">[CENSURADO]</t>
        </is>
      </c>
      <c r="D9" s="46" t="s">
        <v>50</v>
      </c>
      <c r="E9" s="46" t="s">
        <v>53</v>
      </c>
    </row>
    <row r="10" spans="1:5" ht="22.5" customHeight="1">
      <c r="A10" s="46" t="inlineStr">
        <is>
          <t xml:space="preserve">[CENSURADO]</t>
        </is>
      </c>
      <c r="B10" s="46" t="s">
        <v>54</v>
      </c>
      <c r="C10" s="46" t="inlineStr">
        <is>
          <t xml:space="preserve">[CENSURADO]</t>
        </is>
      </c>
      <c r="D10" s="46" t="s">
        <v>55</v>
      </c>
      <c r="E10" s="46" t="s">
        <v>56</v>
      </c>
    </row>
    <row r="11" spans="1:5" ht="22.5" customHeight="1">
      <c r="A11" s="46" t="inlineStr">
        <is>
          <t xml:space="preserve">[CENSURADO]</t>
        </is>
      </c>
      <c r="B11" s="46" t="s">
        <v>57</v>
      </c>
      <c r="C11" s="46" t="inlineStr">
        <is>
          <t xml:space="preserve">[CENSURADO]</t>
        </is>
      </c>
      <c r="D11" s="46" t="s">
        <v>55</v>
      </c>
      <c r="E11" s="46" t="s">
        <v>56</v>
      </c>
    </row>
    <row r="12" spans="1:5" ht="22.5" customHeight="1">
      <c r="A12" s="46" t="inlineStr">
        <is>
          <t xml:space="preserve">[CENSURADO]</t>
        </is>
      </c>
      <c r="B12" s="46" t="s">
        <v>57</v>
      </c>
      <c r="C12" s="46" t="inlineStr">
        <is>
          <t xml:space="preserve">[CENSURADO]</t>
        </is>
      </c>
      <c r="D12" s="46" t="s">
        <v>58</v>
      </c>
      <c r="E12" s="46" t="s">
        <v>59</v>
      </c>
    </row>
    <row r="13" spans="1:5" ht="22.5" customHeight="1">
      <c r="A13" s="46" t="inlineStr">
        <is>
          <t xml:space="preserve">[CENSURADO]</t>
        </is>
      </c>
      <c r="B13" s="46" t="s">
        <v>57</v>
      </c>
      <c r="C13" s="46" t="inlineStr">
        <is>
          <t xml:space="preserve">[CENSURADO]</t>
        </is>
      </c>
      <c r="D13" s="46" t="s">
        <v>58</v>
      </c>
      <c r="E13" s="46" t="s">
        <v>59</v>
      </c>
    </row>
    <row r="14" spans="1:5" ht="22.5" customHeight="1">
      <c r="A14" s="46" t="inlineStr">
        <is>
          <t xml:space="preserve">[CENSURADO]</t>
        </is>
      </c>
      <c r="B14" s="46" t="s">
        <v>54</v>
      </c>
      <c r="C14" s="46" t="inlineStr">
        <is>
          <t xml:space="preserve">[CENSURADO]</t>
        </is>
      </c>
      <c r="D14" s="46" t="s">
        <v>58</v>
      </c>
      <c r="E14" s="46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zoomScaleNormal="100" zoomScaleSheetLayoutView="100" workbookViewId="0">
      <selection activeCell="I3" sqref="I3"/>
    </sheetView>
  </sheetViews>
  <sheetFormatPr baseColWidth="10" defaultColWidth="12.5" defaultRowHeight="13"/>
  <cols>
    <col min="1" max="1" width="17.33203125" customWidth="1"/>
    <col min="2" max="2" width="25.5" customWidth="1"/>
    <col min="3" max="3" width="13.5" customWidth="1"/>
    <col min="4" max="4" width="33.1640625" customWidth="1"/>
    <col min="5" max="5" width="15.83203125" customWidth="1"/>
    <col min="6" max="6" width="25.5" customWidth="1"/>
    <col min="7" max="7" width="20.33203125" customWidth="1"/>
    <col min="8" max="8" width="72.5" customWidth="1"/>
    <col min="9" max="9" width="18.33203125" customWidth="1"/>
    <col min="10" max="10" width="13.5" customWidth="1"/>
  </cols>
  <sheetData>
    <row r="1" spans="1:10" ht="14">
      <c r="A1" s="1" t="s">
        <v>60</v>
      </c>
      <c r="B1" s="35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56" t="s">
        <v>67</v>
      </c>
      <c r="I1" s="59" t="s">
        <v>68</v>
      </c>
    </row>
    <row r="2" spans="1:10" ht="27" customHeight="1">
      <c r="A2" s="2" t="s">
        <v>69</v>
      </c>
      <c r="B2" s="5"/>
      <c r="C2" s="5" t="s">
        <v>70</v>
      </c>
      <c r="D2" s="3" t="s">
        <v>71</v>
      </c>
      <c r="E2" s="4" t="s">
        <v>15</v>
      </c>
      <c r="F2" s="5" t="s">
        <v>72</v>
      </c>
      <c r="G2" s="5"/>
      <c r="H2" s="57"/>
      <c r="I2" s="55" t="inlineStr">
        <is>
          <t xml:space="preserve">[CENSURADO]</t>
        </is>
      </c>
      <c r="J2" s="77" t="s">
        <v>410</v>
      </c>
    </row>
    <row r="3" spans="1:10" ht="40.5" customHeight="1">
      <c r="A3" s="2" t="s">
        <v>73</v>
      </c>
      <c r="B3" s="5" t="s">
        <v>74</v>
      </c>
      <c r="C3" s="5" t="s">
        <v>75</v>
      </c>
      <c r="D3" s="3" t="s">
        <v>76</v>
      </c>
      <c r="E3" s="5"/>
      <c r="F3" s="5" t="s">
        <v>77</v>
      </c>
      <c r="G3" s="5" t="inlineStr">
        <is>
          <t xml:space="preserve">[CENSURADO]</t>
        </is>
      </c>
      <c r="H3" s="57" t="s">
        <v>78</v>
      </c>
      <c r="I3" s="54" t="inlineStr">
        <is>
          <t xml:space="preserve">[CENSURADO]</t>
        </is>
      </c>
      <c r="J3" s="77" t="s">
        <v>8</v>
      </c>
    </row>
    <row r="4" spans="1:10" ht="43.5" customHeight="1">
      <c r="A4" s="2" t="s">
        <v>79</v>
      </c>
      <c r="B4" s="5" t="s">
        <v>80</v>
      </c>
      <c r="C4" s="5" t="s">
        <v>81</v>
      </c>
      <c r="D4" s="3" t="s">
        <v>82</v>
      </c>
      <c r="E4" s="5"/>
      <c r="F4" s="5" t="s">
        <v>83</v>
      </c>
      <c r="G4" s="5" t="inlineStr">
        <is>
          <t xml:space="preserve">[CENSURADO]</t>
        </is>
      </c>
      <c r="H4" s="57"/>
      <c r="I4" s="54" t="inlineStr">
        <is>
          <t xml:space="preserve">[CENSURADO]</t>
        </is>
      </c>
    </row>
    <row r="5" spans="1:10" ht="27.75" customHeight="1">
      <c r="A5" s="2" t="s">
        <v>84</v>
      </c>
      <c r="B5" s="5" t="s">
        <v>85</v>
      </c>
      <c r="C5" s="5" t="s">
        <v>86</v>
      </c>
      <c r="D5" s="3" t="s">
        <v>87</v>
      </c>
      <c r="E5" s="5"/>
      <c r="F5" s="5" t="s">
        <v>83</v>
      </c>
      <c r="G5" s="5" t="s">
        <v>23</v>
      </c>
      <c r="H5" s="57"/>
      <c r="I5" s="54" t="inlineStr">
        <is>
          <t xml:space="preserve">[CENSURADO]</t>
        </is>
      </c>
    </row>
    <row r="6" spans="1:10" ht="14">
      <c r="A6" s="6" t="s">
        <v>24</v>
      </c>
      <c r="B6" s="7"/>
      <c r="C6" s="7"/>
      <c r="D6" s="47"/>
      <c r="E6" s="7"/>
      <c r="F6" s="7"/>
      <c r="G6" s="7"/>
      <c r="H6" s="58"/>
      <c r="I6" s="58"/>
    </row>
    <row r="7" spans="1:10" ht="28.5" customHeight="1">
      <c r="A7" s="2" t="s">
        <v>88</v>
      </c>
      <c r="B7" s="5" t="s">
        <v>89</v>
      </c>
      <c r="C7" s="5" t="s">
        <v>90</v>
      </c>
      <c r="D7" s="3" t="s">
        <v>91</v>
      </c>
      <c r="E7" s="5" t="s">
        <v>92</v>
      </c>
      <c r="F7" s="5" t="inlineStr">
        <is>
          <t xml:space="preserve">ILLLP</t>
        </is>
      </c>
      <c r="G7" s="5" t="inlineStr">
        <is>
          <t xml:space="preserve">[CENSURADO]</t>
        </is>
      </c>
      <c r="H7" s="57"/>
      <c r="I7" s="76" t="inlineStr">
        <is>
          <t xml:space="preserve">[CENSURADO]</t>
        </is>
      </c>
    </row>
    <row r="8" spans="1:10" ht="38.25" customHeight="1">
      <c r="A8" s="2" t="s">
        <v>93</v>
      </c>
      <c r="B8" s="5" t="s">
        <v>89</v>
      </c>
      <c r="C8" s="8" t="s">
        <v>94</v>
      </c>
      <c r="D8" s="3" t="s">
        <v>95</v>
      </c>
      <c r="E8" s="5" t="s">
        <v>92</v>
      </c>
      <c r="F8" s="5" t="inlineStr">
        <is>
          <t xml:space="preserve">ILLLP</t>
        </is>
      </c>
      <c r="G8" s="5" t="inlineStr">
        <is>
          <t xml:space="preserve">[CENSURADO]</t>
        </is>
      </c>
      <c r="H8" s="57"/>
      <c r="I8" s="54" t="inlineStr">
        <is>
          <t xml:space="preserve">[CENSURADO]</t>
        </is>
      </c>
    </row>
    <row r="9" spans="1:10" ht="27.75" customHeight="1">
      <c r="A9" s="2" t="s">
        <v>96</v>
      </c>
      <c r="B9" s="5" t="s">
        <v>89</v>
      </c>
      <c r="C9" s="8" t="s">
        <v>97</v>
      </c>
      <c r="D9" s="3" t="s">
        <v>98</v>
      </c>
      <c r="E9" s="5" t="s">
        <v>92</v>
      </c>
      <c r="F9" s="5" t="inlineStr">
        <is>
          <t xml:space="preserve">ILLLP</t>
        </is>
      </c>
      <c r="G9" s="5" t="inlineStr">
        <is>
          <t xml:space="preserve">[CENSURADO]</t>
        </is>
      </c>
      <c r="H9" s="57"/>
      <c r="I9" s="54" t="inlineStr">
        <is>
          <t xml:space="preserve">[CENSURADO]</t>
        </is>
      </c>
    </row>
    <row r="10" spans="1:10" ht="42" customHeight="1">
      <c r="A10" s="2" t="s">
        <v>99</v>
      </c>
      <c r="B10" s="5" t="s">
        <v>89</v>
      </c>
      <c r="C10" s="9" t="s">
        <v>100</v>
      </c>
      <c r="D10" s="3" t="s">
        <v>101</v>
      </c>
      <c r="E10" s="5" t="s">
        <v>102</v>
      </c>
      <c r="F10" s="5" t="s">
        <v>102</v>
      </c>
      <c r="G10" s="5" t="inlineStr">
        <is>
          <t xml:space="preserve">[CENSURADO]</t>
        </is>
      </c>
      <c r="H10" s="57" t="s">
        <v>103</v>
      </c>
      <c r="I10" s="54" t="s">
        <v>102</v>
      </c>
    </row>
    <row r="11" spans="1:10" ht="17.25" customHeight="1">
      <c r="A11" s="6" t="s">
        <v>104</v>
      </c>
      <c r="B11" s="7"/>
      <c r="C11" s="10"/>
      <c r="D11" s="47"/>
      <c r="E11" s="7"/>
      <c r="F11" s="7"/>
      <c r="G11" s="7"/>
      <c r="H11" s="58"/>
      <c r="I11" s="58"/>
    </row>
    <row r="12" spans="1:10" ht="48.75" customHeight="1">
      <c r="A12" s="2" t="s">
        <v>105</v>
      </c>
      <c r="B12" s="5" t="s">
        <v>106</v>
      </c>
      <c r="D12" s="3" t="inlineStr">
        <is>
          <t xml:space="preserve">Réplica em [CENSURADO]</t>
        </is>
      </c>
      <c r="E12" s="5" t="s">
        <v>107</v>
      </c>
      <c r="F12" s="5" t="inlineStr">
        <is>
          <t xml:space="preserve">DSI do IST</t>
        </is>
      </c>
      <c r="G12" s="5"/>
      <c r="H12" s="57" t="inlineStr">
        <is>
          <t xml:space="preserve">Recuperar acesso ao site. Está num servidor antigo no IST. [Nota interna censurada].</t>
        </is>
      </c>
      <c r="I12" s="61"/>
    </row>
    <row r="13" spans="1:10" ht="51.75" customHeight="1">
      <c r="A13" s="2" t="s">
        <v>108</v>
      </c>
      <c r="B13" s="5" t="s">
        <v>106</v>
      </c>
      <c r="C13" s="5" t="s">
        <v>70</v>
      </c>
      <c r="D13" s="4" t="s">
        <v>109</v>
      </c>
      <c r="E13" s="5"/>
      <c r="F13" s="5"/>
      <c r="G13" s="5"/>
      <c r="H13" s="57" t="s">
        <v>110</v>
      </c>
      <c r="I13" s="60" t="s">
        <v>111</v>
      </c>
    </row>
    <row r="14" spans="1:10" ht="50.25" customHeight="1">
      <c r="A14" s="2" t="s">
        <v>112</v>
      </c>
      <c r="B14" s="5" t="s">
        <v>113</v>
      </c>
      <c r="C14" s="5" t="s">
        <v>114</v>
      </c>
      <c r="D14" s="4" t="s">
        <v>115</v>
      </c>
      <c r="E14" s="5"/>
      <c r="F14" s="5" t="s">
        <v>116</v>
      </c>
      <c r="G14" s="5"/>
      <c r="H14" s="57" t="s">
        <v>117</v>
      </c>
      <c r="I14" s="62" t="inlineStr">
        <is>
          <t xml:space="preserve">[CENSURADO]</t>
        </is>
      </c>
    </row>
    <row r="15" spans="1:10" ht="18.75" customHeight="1">
      <c r="A15" s="6"/>
      <c r="B15" s="7"/>
      <c r="C15" s="7"/>
      <c r="D15" s="47"/>
      <c r="E15" s="7"/>
      <c r="F15" s="7"/>
      <c r="G15" s="7"/>
      <c r="H15" s="58"/>
      <c r="I15" s="58"/>
    </row>
    <row r="16" spans="1:10" ht="28.5" customHeight="1">
      <c r="A16" s="2" t="s">
        <v>28</v>
      </c>
      <c r="B16" s="5" t="s">
        <v>118</v>
      </c>
      <c r="C16" s="5" t="s">
        <v>119</v>
      </c>
      <c r="D16" s="3" t="s">
        <v>120</v>
      </c>
      <c r="E16" s="5" t="s">
        <v>121</v>
      </c>
      <c r="F16" s="5" t="s">
        <v>8</v>
      </c>
      <c r="G16" s="5" t="s">
        <v>122</v>
      </c>
      <c r="H16" s="57" t="s">
        <v>123</v>
      </c>
      <c r="I16" s="54"/>
    </row>
    <row r="20" ht="15.75" customHeight="1"/>
    <row r="21" ht="17.2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Normal="100" zoomScaleSheetLayoutView="100" workbookViewId="0">
      <selection activeCell="G27" sqref="G27"/>
    </sheetView>
  </sheetViews>
  <sheetFormatPr baseColWidth="10" defaultColWidth="12.5" defaultRowHeight="13"/>
  <cols>
    <col min="1" max="1" width="12" customWidth="1"/>
    <col min="2" max="2" width="25.5" customWidth="1"/>
    <col min="3" max="3" width="7" customWidth="1"/>
    <col min="4" max="4" width="12" customWidth="1"/>
    <col min="5" max="5" width="9.33203125" customWidth="1"/>
    <col min="6" max="6" width="8.83203125" customWidth="1"/>
    <col min="7" max="7" width="25.1640625" customWidth="1"/>
    <col min="8" max="8" width="8.6640625" customWidth="1"/>
  </cols>
  <sheetData>
    <row r="1" spans="1:8" ht="28">
      <c r="A1" s="11" t="s">
        <v>124</v>
      </c>
      <c r="B1" s="52" t="s">
        <v>70</v>
      </c>
    </row>
    <row r="2" spans="1:8" ht="17.25" customHeight="1">
      <c r="A2" s="11" t="s">
        <v>63</v>
      </c>
      <c r="B2" s="48" t="s">
        <v>71</v>
      </c>
    </row>
    <row r="3" spans="1:8" ht="18.75" customHeight="1">
      <c r="A3" s="11" t="s">
        <v>64</v>
      </c>
      <c r="B3" s="52" t="s">
        <v>125</v>
      </c>
    </row>
    <row r="4" spans="1:8" ht="14">
      <c r="A4" s="11" t="s">
        <v>126</v>
      </c>
      <c r="B4" s="63" t="inlineStr">
        <is>
          <t xml:space="preserve">[CENSURADO], [CENSURADO], ERLOG (Manutenção)</t>
        </is>
      </c>
      <c r="C4" s="64"/>
      <c r="D4" s="64"/>
      <c r="E4" s="64"/>
    </row>
    <row r="5" spans="1:8" ht="15.75" customHeight="1">
      <c r="A5" s="12" t="s">
        <v>127</v>
      </c>
      <c r="B5" s="13" t="inlineStr">
        <is>
          <t xml:space="preserve">[CENSURADO], [CENSURADO]</t>
        </is>
      </c>
    </row>
    <row r="6" spans="1:8" ht="18.75" customHeight="1"/>
    <row r="7" spans="1:8">
      <c r="A7" s="65" t="s">
        <v>128</v>
      </c>
      <c r="B7" s="64"/>
    </row>
    <row r="8" spans="1:8">
      <c r="A8" s="14" t="s">
        <v>129</v>
      </c>
      <c r="B8" s="14" t="s">
        <v>130</v>
      </c>
      <c r="D8" s="14" t="s">
        <v>131</v>
      </c>
      <c r="E8" s="14" t="s">
        <v>132</v>
      </c>
      <c r="G8" s="14" t="s">
        <v>133</v>
      </c>
      <c r="H8" s="14" t="s">
        <v>134</v>
      </c>
    </row>
    <row r="9" spans="1:8">
      <c r="A9" s="49">
        <v>2021</v>
      </c>
      <c r="B9" s="49">
        <v>1</v>
      </c>
      <c r="D9" s="49" t="s">
        <v>135</v>
      </c>
      <c r="E9" s="49">
        <v>1908</v>
      </c>
      <c r="G9" s="49" t="s">
        <v>136</v>
      </c>
      <c r="H9" s="49">
        <v>245</v>
      </c>
    </row>
    <row r="10" spans="1:8">
      <c r="A10" s="49">
        <v>2022</v>
      </c>
      <c r="B10" s="49">
        <v>5</v>
      </c>
      <c r="D10" s="49" t="s">
        <v>137</v>
      </c>
      <c r="E10" s="49">
        <v>627</v>
      </c>
      <c r="G10" s="49" t="s">
        <v>138</v>
      </c>
      <c r="H10" s="49">
        <v>5</v>
      </c>
    </row>
    <row r="11" spans="1:8">
      <c r="A11" s="49">
        <v>2023</v>
      </c>
      <c r="B11" s="49">
        <v>81</v>
      </c>
      <c r="D11" s="49" t="s">
        <v>139</v>
      </c>
      <c r="E11" s="49">
        <v>5</v>
      </c>
      <c r="G11" s="49" t="s">
        <v>140</v>
      </c>
      <c r="H11" s="49">
        <v>4</v>
      </c>
    </row>
    <row r="12" spans="1:8">
      <c r="A12" s="49">
        <v>2024</v>
      </c>
      <c r="B12" s="49">
        <v>79</v>
      </c>
      <c r="D12" s="49" t="s">
        <v>141</v>
      </c>
      <c r="E12" s="49">
        <v>4</v>
      </c>
      <c r="G12" s="49" t="s">
        <v>142</v>
      </c>
      <c r="H12" s="49">
        <v>3</v>
      </c>
    </row>
    <row r="13" spans="1:8">
      <c r="A13" s="49">
        <v>2025</v>
      </c>
      <c r="B13" s="49">
        <v>83</v>
      </c>
      <c r="D13" s="49" t="s">
        <v>143</v>
      </c>
      <c r="E13" s="49">
        <v>1</v>
      </c>
      <c r="G13" s="49" t="s">
        <v>144</v>
      </c>
      <c r="H13" s="49">
        <v>3</v>
      </c>
    </row>
    <row r="14" spans="1:8">
      <c r="A14" s="49">
        <v>2026</v>
      </c>
      <c r="B14" s="49">
        <v>5</v>
      </c>
      <c r="D14" s="49" t="s">
        <v>145</v>
      </c>
      <c r="E14" s="49">
        <v>1</v>
      </c>
      <c r="G14" s="49" t="s">
        <v>146</v>
      </c>
      <c r="H14" s="49">
        <v>2</v>
      </c>
    </row>
    <row r="15" spans="1:8">
      <c r="A15" s="15" t="s">
        <v>147</v>
      </c>
      <c r="B15" s="16">
        <f>SUM(B9:B14)</f>
        <v>254</v>
      </c>
      <c r="D15" s="49" t="s">
        <v>148</v>
      </c>
      <c r="E15" s="49">
        <v>1</v>
      </c>
      <c r="G15" s="49" t="s">
        <v>149</v>
      </c>
      <c r="H15" s="49">
        <v>0</v>
      </c>
    </row>
    <row r="16" spans="1:8">
      <c r="D16" s="15" t="s">
        <v>147</v>
      </c>
      <c r="E16" s="16">
        <f>SUM(E9:E15)</f>
        <v>2547</v>
      </c>
      <c r="G16" s="49" t="s">
        <v>150</v>
      </c>
      <c r="H16" s="49">
        <v>0</v>
      </c>
    </row>
    <row r="18" spans="4:4" ht="28">
      <c r="D18" s="51" t="s">
        <v>151</v>
      </c>
    </row>
  </sheetData>
  <mergeCells count="2">
    <mergeCell ref="B4:E4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5"/>
  <sheetViews>
    <sheetView zoomScaleNormal="100" zoomScaleSheetLayoutView="100" workbookViewId="0">
      <selection activeCell="H17" sqref="H17"/>
    </sheetView>
  </sheetViews>
  <sheetFormatPr baseColWidth="10" defaultColWidth="12.5" defaultRowHeight="13"/>
  <cols>
    <col min="1" max="1" width="25.5" customWidth="1"/>
    <col min="2" max="2" width="34" customWidth="1"/>
    <col min="3" max="3" width="28.83203125" customWidth="1"/>
  </cols>
  <sheetData>
    <row r="1" spans="1:4" ht="18.75" customHeight="1">
      <c r="A1" s="11" t="s">
        <v>124</v>
      </c>
      <c r="B1" s="52" t="s">
        <v>152</v>
      </c>
    </row>
    <row r="2" spans="1:4" ht="19.5" customHeight="1">
      <c r="A2" s="11" t="s">
        <v>63</v>
      </c>
      <c r="B2" s="52" t="s">
        <v>76</v>
      </c>
    </row>
    <row r="3" spans="1:4" ht="18.75" customHeight="1">
      <c r="A3" s="11" t="s">
        <v>64</v>
      </c>
      <c r="B3" s="52" t="s">
        <v>153</v>
      </c>
    </row>
    <row r="4" spans="1:4" ht="18" customHeight="1">
      <c r="A4" s="11" t="s">
        <v>126</v>
      </c>
      <c r="B4" s="52" t="inlineStr">
        <is>
          <t xml:space="preserve">[CENSURADO]</t>
        </is>
      </c>
    </row>
    <row r="5" spans="1:4" ht="21" customHeight="1"/>
    <row r="6" spans="1:4">
      <c r="A6" s="17" t="s">
        <v>154</v>
      </c>
      <c r="B6" s="53" t="s">
        <v>155</v>
      </c>
      <c r="C6" s="18"/>
      <c r="D6" s="18">
        <v>70364</v>
      </c>
    </row>
    <row r="7" spans="1:4">
      <c r="A7" s="19" t="s">
        <v>156</v>
      </c>
      <c r="B7" s="19" t="s">
        <v>157</v>
      </c>
      <c r="C7" s="19" t="s">
        <v>158</v>
      </c>
      <c r="D7" s="20" t="s">
        <v>159</v>
      </c>
    </row>
    <row r="8" spans="1:4">
      <c r="A8" s="21" t="s">
        <v>160</v>
      </c>
      <c r="B8" s="21" t="s">
        <v>161</v>
      </c>
      <c r="C8" s="21">
        <v>38728</v>
      </c>
      <c r="D8" s="22"/>
    </row>
    <row r="9" spans="1:4">
      <c r="A9" s="21" t="s">
        <v>160</v>
      </c>
      <c r="B9" s="21" t="s">
        <v>162</v>
      </c>
      <c r="C9" s="21">
        <v>26213</v>
      </c>
      <c r="D9" s="22"/>
    </row>
    <row r="10" spans="1:4">
      <c r="A10" s="21" t="s">
        <v>160</v>
      </c>
      <c r="B10" s="21" t="s">
        <v>163</v>
      </c>
      <c r="C10" s="21">
        <v>4503</v>
      </c>
      <c r="D10" s="22"/>
    </row>
    <row r="11" spans="1:4">
      <c r="A11" s="21" t="s">
        <v>160</v>
      </c>
      <c r="B11" s="21" t="s">
        <v>164</v>
      </c>
      <c r="C11" s="21">
        <v>813</v>
      </c>
      <c r="D11" s="22"/>
    </row>
    <row r="12" spans="1:4">
      <c r="A12" s="21" t="s">
        <v>160</v>
      </c>
      <c r="B12" s="21" t="s">
        <v>165</v>
      </c>
      <c r="C12" s="21">
        <v>111</v>
      </c>
      <c r="D12" s="22"/>
    </row>
    <row r="13" spans="1:4">
      <c r="A13" s="21" t="s">
        <v>160</v>
      </c>
      <c r="B13" s="21" t="s">
        <v>166</v>
      </c>
      <c r="C13" s="21">
        <v>3</v>
      </c>
      <c r="D13" s="23">
        <f>SUM(C8:C13)</f>
        <v>70371</v>
      </c>
    </row>
    <row r="14" spans="1:4">
      <c r="A14" s="8" t="s">
        <v>167</v>
      </c>
      <c r="B14" s="8" t="s">
        <v>168</v>
      </c>
      <c r="C14" s="8">
        <v>60754</v>
      </c>
      <c r="D14" s="24"/>
    </row>
    <row r="15" spans="1:4">
      <c r="A15" s="8" t="s">
        <v>167</v>
      </c>
      <c r="B15" s="8" t="s">
        <v>169</v>
      </c>
      <c r="C15" s="8">
        <v>4619</v>
      </c>
      <c r="D15" s="22"/>
    </row>
    <row r="16" spans="1:4">
      <c r="A16" s="8" t="s">
        <v>167</v>
      </c>
      <c r="B16" s="8" t="s">
        <v>170</v>
      </c>
      <c r="C16" s="8">
        <v>856</v>
      </c>
      <c r="D16" s="22"/>
    </row>
    <row r="17" spans="1:4">
      <c r="A17" s="8" t="s">
        <v>167</v>
      </c>
      <c r="B17" s="8" t="s">
        <v>171</v>
      </c>
      <c r="C17" s="8">
        <v>129</v>
      </c>
      <c r="D17" s="22"/>
    </row>
    <row r="18" spans="1:4">
      <c r="A18" s="8" t="s">
        <v>167</v>
      </c>
      <c r="B18" s="8" t="s">
        <v>172</v>
      </c>
      <c r="C18" s="8">
        <v>61</v>
      </c>
      <c r="D18" s="22"/>
    </row>
    <row r="19" spans="1:4">
      <c r="A19" s="8" t="s">
        <v>167</v>
      </c>
      <c r="B19" s="8" t="s">
        <v>173</v>
      </c>
      <c r="C19" s="8">
        <v>29</v>
      </c>
      <c r="D19" s="22"/>
    </row>
    <row r="20" spans="1:4">
      <c r="A20" s="8" t="s">
        <v>167</v>
      </c>
      <c r="B20" s="8" t="s">
        <v>174</v>
      </c>
      <c r="C20" s="8">
        <v>11</v>
      </c>
      <c r="D20" s="22"/>
    </row>
    <row r="21" spans="1:4">
      <c r="A21" s="8" t="s">
        <v>167</v>
      </c>
      <c r="B21" s="8" t="s">
        <v>175</v>
      </c>
      <c r="C21" s="8">
        <v>2</v>
      </c>
      <c r="D21" s="22"/>
    </row>
    <row r="22" spans="1:4">
      <c r="A22" s="8" t="s">
        <v>167</v>
      </c>
      <c r="B22" s="8" t="s">
        <v>176</v>
      </c>
      <c r="C22" s="8">
        <v>2</v>
      </c>
      <c r="D22" s="22"/>
    </row>
    <row r="23" spans="1:4">
      <c r="A23" s="8" t="s">
        <v>167</v>
      </c>
      <c r="B23" s="8" t="s">
        <v>177</v>
      </c>
      <c r="C23" s="8">
        <v>1</v>
      </c>
      <c r="D23" s="22"/>
    </row>
    <row r="24" spans="1:4">
      <c r="A24" s="8" t="s">
        <v>167</v>
      </c>
      <c r="B24" s="8" t="s">
        <v>178</v>
      </c>
      <c r="C24" s="8">
        <v>1</v>
      </c>
      <c r="D24" s="23">
        <f>SUM(C14:C24)</f>
        <v>66465</v>
      </c>
    </row>
    <row r="25" spans="1:4">
      <c r="A25" s="21" t="s">
        <v>179</v>
      </c>
      <c r="B25" s="21" t="s">
        <v>180</v>
      </c>
      <c r="C25" s="21">
        <v>63544</v>
      </c>
      <c r="D25" s="24"/>
    </row>
    <row r="26" spans="1:4">
      <c r="A26" s="21" t="s">
        <v>179</v>
      </c>
      <c r="B26" s="21" t="s">
        <v>181</v>
      </c>
      <c r="C26" s="21">
        <v>5967</v>
      </c>
      <c r="D26" s="22"/>
    </row>
    <row r="27" spans="1:4">
      <c r="A27" s="21" t="s">
        <v>179</v>
      </c>
      <c r="B27" s="21" t="s">
        <v>182</v>
      </c>
      <c r="C27" s="21">
        <v>200</v>
      </c>
      <c r="D27" s="22"/>
    </row>
    <row r="28" spans="1:4">
      <c r="A28" s="21" t="s">
        <v>179</v>
      </c>
      <c r="B28" s="21" t="s">
        <v>183</v>
      </c>
      <c r="C28" s="21">
        <v>101</v>
      </c>
      <c r="D28" s="22"/>
    </row>
    <row r="29" spans="1:4">
      <c r="A29" s="21" t="s">
        <v>179</v>
      </c>
      <c r="B29" s="21" t="s">
        <v>184</v>
      </c>
      <c r="C29" s="21">
        <v>6</v>
      </c>
      <c r="D29" s="23">
        <f>SUM(C25:C29)</f>
        <v>69818</v>
      </c>
    </row>
    <row r="30" spans="1:4">
      <c r="A30" s="8" t="s">
        <v>185</v>
      </c>
      <c r="B30" s="8" t="s">
        <v>186</v>
      </c>
      <c r="C30" s="8">
        <v>15281</v>
      </c>
      <c r="D30" s="24"/>
    </row>
    <row r="31" spans="1:4">
      <c r="A31" s="8" t="s">
        <v>185</v>
      </c>
      <c r="B31" s="8" t="s">
        <v>187</v>
      </c>
      <c r="C31" s="8">
        <v>13818</v>
      </c>
      <c r="D31" s="22"/>
    </row>
    <row r="32" spans="1:4">
      <c r="A32" s="8" t="s">
        <v>185</v>
      </c>
      <c r="B32" s="8" t="s">
        <v>188</v>
      </c>
      <c r="C32" s="8">
        <v>3248</v>
      </c>
      <c r="D32" s="22"/>
    </row>
    <row r="33" spans="1:4">
      <c r="A33" s="8" t="s">
        <v>185</v>
      </c>
      <c r="B33" s="8" t="s">
        <v>189</v>
      </c>
      <c r="C33" s="8">
        <v>1680</v>
      </c>
      <c r="D33" s="22"/>
    </row>
    <row r="34" spans="1:4">
      <c r="A34" s="8" t="s">
        <v>185</v>
      </c>
      <c r="B34" s="8" t="s">
        <v>190</v>
      </c>
      <c r="C34" s="8">
        <v>1645</v>
      </c>
      <c r="D34" s="22"/>
    </row>
    <row r="35" spans="1:4">
      <c r="A35" s="8" t="s">
        <v>185</v>
      </c>
      <c r="B35" s="8" t="s">
        <v>191</v>
      </c>
      <c r="C35" s="8">
        <v>1112</v>
      </c>
      <c r="D35" s="22"/>
    </row>
    <row r="36" spans="1:4">
      <c r="A36" s="8" t="s">
        <v>185</v>
      </c>
      <c r="B36" s="8" t="s">
        <v>192</v>
      </c>
      <c r="C36" s="8">
        <v>1078</v>
      </c>
      <c r="D36" s="22"/>
    </row>
    <row r="37" spans="1:4">
      <c r="A37" s="8" t="s">
        <v>185</v>
      </c>
      <c r="B37" s="8" t="s">
        <v>193</v>
      </c>
      <c r="C37" s="8">
        <v>1022</v>
      </c>
      <c r="D37" s="22"/>
    </row>
    <row r="38" spans="1:4">
      <c r="A38" s="8" t="s">
        <v>185</v>
      </c>
      <c r="B38" s="8" t="s">
        <v>194</v>
      </c>
      <c r="C38" s="8">
        <v>937</v>
      </c>
      <c r="D38" s="22"/>
    </row>
    <row r="39" spans="1:4">
      <c r="A39" s="8" t="s">
        <v>185</v>
      </c>
      <c r="B39" s="8" t="s">
        <v>195</v>
      </c>
      <c r="C39" s="8">
        <v>699</v>
      </c>
      <c r="D39" s="22"/>
    </row>
    <row r="40" spans="1:4">
      <c r="A40" s="8" t="s">
        <v>185</v>
      </c>
      <c r="B40" s="8" t="s">
        <v>196</v>
      </c>
      <c r="C40" s="8">
        <v>661</v>
      </c>
      <c r="D40" s="22"/>
    </row>
    <row r="41" spans="1:4">
      <c r="A41" s="50" t="s">
        <v>185</v>
      </c>
      <c r="B41" s="50" t="s">
        <v>197</v>
      </c>
      <c r="C41" s="50">
        <v>658</v>
      </c>
      <c r="D41" s="22"/>
    </row>
    <row r="42" spans="1:4">
      <c r="A42" s="50" t="s">
        <v>185</v>
      </c>
      <c r="B42" s="50" t="s">
        <v>198</v>
      </c>
      <c r="C42" s="50">
        <v>649</v>
      </c>
      <c r="D42" s="22"/>
    </row>
    <row r="43" spans="1:4">
      <c r="A43" s="50" t="s">
        <v>185</v>
      </c>
      <c r="B43" s="50" t="s">
        <v>199</v>
      </c>
      <c r="C43" s="50">
        <v>637</v>
      </c>
      <c r="D43" s="22"/>
    </row>
    <row r="44" spans="1:4">
      <c r="A44" s="50" t="s">
        <v>185</v>
      </c>
      <c r="B44" s="50" t="s">
        <v>200</v>
      </c>
      <c r="C44" s="50">
        <v>620</v>
      </c>
      <c r="D44" s="22"/>
    </row>
    <row r="45" spans="1:4">
      <c r="A45" s="25" t="s">
        <v>201</v>
      </c>
      <c r="B45" s="50"/>
      <c r="C45" s="50"/>
      <c r="D45" s="26">
        <f>SUM(C30:C44)</f>
        <v>43745</v>
      </c>
    </row>
    <row r="46" spans="1:4">
      <c r="A46" s="21" t="s">
        <v>202</v>
      </c>
      <c r="B46" s="21" t="s">
        <v>203</v>
      </c>
      <c r="C46" s="21">
        <v>714</v>
      </c>
      <c r="D46" s="24"/>
    </row>
    <row r="47" spans="1:4">
      <c r="A47" s="21" t="s">
        <v>202</v>
      </c>
      <c r="B47" s="21">
        <v>2000</v>
      </c>
      <c r="C47" s="21">
        <v>608</v>
      </c>
      <c r="D47" s="22"/>
    </row>
    <row r="48" spans="1:4">
      <c r="A48" s="21" t="s">
        <v>202</v>
      </c>
      <c r="B48" s="21" t="s">
        <v>204</v>
      </c>
      <c r="C48" s="21">
        <v>595</v>
      </c>
      <c r="D48" s="22"/>
    </row>
    <row r="49" spans="1:4">
      <c r="A49" s="21" t="s">
        <v>202</v>
      </c>
      <c r="B49" s="21">
        <v>1998</v>
      </c>
      <c r="C49" s="21">
        <v>558</v>
      </c>
      <c r="D49" s="22"/>
    </row>
    <row r="50" spans="1:4">
      <c r="A50" s="21" t="s">
        <v>202</v>
      </c>
      <c r="B50" s="21">
        <v>2001</v>
      </c>
      <c r="C50" s="21">
        <v>550</v>
      </c>
      <c r="D50" s="22"/>
    </row>
    <row r="51" spans="1:4">
      <c r="A51" s="21" t="s">
        <v>202</v>
      </c>
      <c r="B51" s="21">
        <v>1999</v>
      </c>
      <c r="C51" s="21">
        <v>514</v>
      </c>
      <c r="D51" s="22"/>
    </row>
    <row r="52" spans="1:4">
      <c r="A52" s="21" t="s">
        <v>202</v>
      </c>
      <c r="B52" s="21" t="s">
        <v>205</v>
      </c>
      <c r="C52" s="21">
        <v>473</v>
      </c>
      <c r="D52" s="22"/>
    </row>
    <row r="53" spans="1:4">
      <c r="A53" s="21" t="s">
        <v>202</v>
      </c>
      <c r="B53" s="21" t="s">
        <v>206</v>
      </c>
      <c r="C53" s="21">
        <v>453</v>
      </c>
      <c r="D53" s="22"/>
    </row>
    <row r="54" spans="1:4">
      <c r="A54" s="21" t="s">
        <v>202</v>
      </c>
      <c r="B54" s="21" t="s">
        <v>207</v>
      </c>
      <c r="C54" s="21">
        <v>398</v>
      </c>
      <c r="D54" s="22"/>
    </row>
    <row r="55" spans="1:4">
      <c r="A55" s="21" t="s">
        <v>202</v>
      </c>
      <c r="B55" s="21" t="s">
        <v>208</v>
      </c>
      <c r="C55" s="21">
        <v>394</v>
      </c>
      <c r="D55" s="22"/>
    </row>
    <row r="56" spans="1:4">
      <c r="A56" s="21" t="s">
        <v>202</v>
      </c>
      <c r="B56" s="21">
        <v>1997</v>
      </c>
      <c r="C56" s="21">
        <v>393</v>
      </c>
      <c r="D56" s="22"/>
    </row>
    <row r="57" spans="1:4">
      <c r="A57" s="21" t="s">
        <v>202</v>
      </c>
      <c r="B57" s="21">
        <v>1995</v>
      </c>
      <c r="C57" s="21">
        <v>384</v>
      </c>
      <c r="D57" s="22"/>
    </row>
    <row r="58" spans="1:4">
      <c r="A58" s="21" t="s">
        <v>202</v>
      </c>
      <c r="B58" s="21">
        <v>2007</v>
      </c>
      <c r="C58" s="21">
        <v>376</v>
      </c>
      <c r="D58" s="22"/>
    </row>
    <row r="59" spans="1:4">
      <c r="A59" s="21" t="s">
        <v>202</v>
      </c>
      <c r="B59" s="21">
        <v>2006</v>
      </c>
      <c r="C59" s="21">
        <v>373</v>
      </c>
      <c r="D59" s="22"/>
    </row>
    <row r="60" spans="1:4">
      <c r="A60" s="21" t="s">
        <v>202</v>
      </c>
      <c r="B60" s="21">
        <v>1996</v>
      </c>
      <c r="C60" s="21">
        <v>372</v>
      </c>
      <c r="D60" s="22"/>
    </row>
    <row r="61" spans="1:4">
      <c r="A61" s="25" t="s">
        <v>201</v>
      </c>
      <c r="B61" s="21"/>
      <c r="C61" s="21"/>
      <c r="D61" s="26">
        <f>SUM(C46:C60)</f>
        <v>7155</v>
      </c>
    </row>
    <row r="62" spans="1:4">
      <c r="A62" s="8" t="s">
        <v>209</v>
      </c>
      <c r="B62" s="8" t="s">
        <v>188</v>
      </c>
      <c r="C62" s="8">
        <v>3992</v>
      </c>
      <c r="D62" s="24"/>
    </row>
    <row r="63" spans="1:4">
      <c r="A63" s="8" t="s">
        <v>209</v>
      </c>
      <c r="B63" s="8" t="s">
        <v>210</v>
      </c>
      <c r="C63" s="8">
        <v>3369</v>
      </c>
      <c r="D63" s="22"/>
    </row>
    <row r="64" spans="1:4">
      <c r="A64" s="50" t="s">
        <v>209</v>
      </c>
      <c r="B64" s="50" t="s">
        <v>211</v>
      </c>
      <c r="C64" s="50">
        <v>1609</v>
      </c>
      <c r="D64" s="22"/>
    </row>
    <row r="65" spans="1:4">
      <c r="A65" s="50" t="s">
        <v>209</v>
      </c>
      <c r="B65" s="50" t="s">
        <v>210</v>
      </c>
      <c r="C65" s="50">
        <v>881</v>
      </c>
      <c r="D65" s="22"/>
    </row>
    <row r="66" spans="1:4">
      <c r="A66" s="50" t="s">
        <v>209</v>
      </c>
      <c r="B66" s="50" t="s">
        <v>212</v>
      </c>
      <c r="C66" s="50">
        <v>775</v>
      </c>
      <c r="D66" s="22"/>
    </row>
    <row r="67" spans="1:4">
      <c r="A67" s="50" t="s">
        <v>209</v>
      </c>
      <c r="B67" s="50" t="s">
        <v>213</v>
      </c>
      <c r="C67" s="50">
        <v>633</v>
      </c>
      <c r="D67" s="22"/>
    </row>
    <row r="68" spans="1:4">
      <c r="A68" s="50" t="s">
        <v>209</v>
      </c>
      <c r="B68" s="50" t="s">
        <v>214</v>
      </c>
      <c r="C68" s="50">
        <v>450</v>
      </c>
      <c r="D68" s="22"/>
    </row>
    <row r="69" spans="1:4">
      <c r="A69" s="50" t="s">
        <v>209</v>
      </c>
      <c r="B69" s="50" t="s">
        <v>215</v>
      </c>
      <c r="C69" s="50">
        <v>441</v>
      </c>
      <c r="D69" s="22"/>
    </row>
    <row r="70" spans="1:4">
      <c r="A70" s="50" t="s">
        <v>209</v>
      </c>
      <c r="B70" s="50" t="s">
        <v>216</v>
      </c>
      <c r="C70" s="50">
        <v>427</v>
      </c>
      <c r="D70" s="22"/>
    </row>
    <row r="71" spans="1:4">
      <c r="A71" s="50" t="s">
        <v>209</v>
      </c>
      <c r="B71" s="50" t="s">
        <v>217</v>
      </c>
      <c r="C71" s="50">
        <v>373</v>
      </c>
      <c r="D71" s="22"/>
    </row>
    <row r="72" spans="1:4">
      <c r="A72" s="50" t="s">
        <v>209</v>
      </c>
      <c r="B72" s="50" t="s">
        <v>218</v>
      </c>
      <c r="C72" s="50">
        <v>360</v>
      </c>
      <c r="D72" s="22"/>
    </row>
    <row r="73" spans="1:4">
      <c r="A73" s="50" t="s">
        <v>209</v>
      </c>
      <c r="B73" s="50" t="s">
        <v>219</v>
      </c>
      <c r="C73" s="50">
        <v>325</v>
      </c>
      <c r="D73" s="22"/>
    </row>
    <row r="74" spans="1:4">
      <c r="A74" s="50" t="s">
        <v>209</v>
      </c>
      <c r="B74" s="50" t="s">
        <v>220</v>
      </c>
      <c r="C74" s="50">
        <v>311</v>
      </c>
      <c r="D74" s="22"/>
    </row>
    <row r="75" spans="1:4">
      <c r="A75" s="50" t="s">
        <v>209</v>
      </c>
      <c r="B75" s="50" t="s">
        <v>211</v>
      </c>
      <c r="C75" s="50">
        <v>296</v>
      </c>
      <c r="D75" s="22"/>
    </row>
    <row r="76" spans="1:4">
      <c r="A76" s="50" t="s">
        <v>209</v>
      </c>
      <c r="B76" s="50" t="s">
        <v>221</v>
      </c>
      <c r="C76" s="50">
        <v>249</v>
      </c>
      <c r="D76" s="22"/>
    </row>
    <row r="77" spans="1:4">
      <c r="A77" s="25" t="s">
        <v>201</v>
      </c>
      <c r="B77" s="50"/>
      <c r="C77" s="50"/>
      <c r="D77" s="26">
        <f>SUM(C62:C76)</f>
        <v>14491</v>
      </c>
    </row>
    <row r="78" spans="1:4">
      <c r="A78" s="21" t="s">
        <v>222</v>
      </c>
      <c r="B78" s="21" t="s">
        <v>223</v>
      </c>
      <c r="C78" s="21">
        <v>125</v>
      </c>
      <c r="D78" s="24"/>
    </row>
    <row r="79" spans="1:4">
      <c r="A79" s="21" t="s">
        <v>222</v>
      </c>
      <c r="B79" s="21" t="s">
        <v>224</v>
      </c>
      <c r="C79" s="21">
        <v>124</v>
      </c>
      <c r="D79" s="22"/>
    </row>
    <row r="80" spans="1:4">
      <c r="A80" s="21" t="s">
        <v>222</v>
      </c>
      <c r="B80" s="21" t="s">
        <v>225</v>
      </c>
      <c r="C80" s="21">
        <v>121</v>
      </c>
      <c r="D80" s="22"/>
    </row>
    <row r="81" spans="1:4">
      <c r="A81" s="21" t="s">
        <v>222</v>
      </c>
      <c r="B81" s="21" t="s">
        <v>226</v>
      </c>
      <c r="C81" s="21">
        <v>119</v>
      </c>
      <c r="D81" s="22"/>
    </row>
    <row r="82" spans="1:4">
      <c r="A82" s="21" t="s">
        <v>222</v>
      </c>
      <c r="B82" s="21" t="s">
        <v>227</v>
      </c>
      <c r="C82" s="21">
        <v>112</v>
      </c>
      <c r="D82" s="22"/>
    </row>
    <row r="83" spans="1:4">
      <c r="A83" s="21" t="s">
        <v>222</v>
      </c>
      <c r="B83" s="21" t="s">
        <v>228</v>
      </c>
      <c r="C83" s="21">
        <v>84</v>
      </c>
      <c r="D83" s="22"/>
    </row>
    <row r="84" spans="1:4">
      <c r="A84" s="21" t="s">
        <v>222</v>
      </c>
      <c r="B84" s="21" t="s">
        <v>229</v>
      </c>
      <c r="C84" s="21">
        <v>76</v>
      </c>
      <c r="D84" s="22"/>
    </row>
    <row r="85" spans="1:4">
      <c r="A85" s="21" t="s">
        <v>222</v>
      </c>
      <c r="B85" s="21" t="s">
        <v>230</v>
      </c>
      <c r="C85" s="21">
        <v>75</v>
      </c>
      <c r="D85" s="22"/>
    </row>
    <row r="86" spans="1:4">
      <c r="A86" s="21" t="s">
        <v>222</v>
      </c>
      <c r="B86" s="21" t="s">
        <v>231</v>
      </c>
      <c r="C86" s="21">
        <v>71</v>
      </c>
      <c r="D86" s="22"/>
    </row>
    <row r="87" spans="1:4">
      <c r="A87" s="21" t="s">
        <v>222</v>
      </c>
      <c r="B87" s="21" t="s">
        <v>232</v>
      </c>
      <c r="C87" s="21">
        <v>67</v>
      </c>
      <c r="D87" s="22"/>
    </row>
    <row r="88" spans="1:4">
      <c r="A88" s="21" t="s">
        <v>222</v>
      </c>
      <c r="B88" s="21" t="s">
        <v>233</v>
      </c>
      <c r="C88" s="21">
        <v>61</v>
      </c>
      <c r="D88" s="22"/>
    </row>
    <row r="89" spans="1:4">
      <c r="A89" s="21" t="s">
        <v>222</v>
      </c>
      <c r="B89" s="21" t="s">
        <v>234</v>
      </c>
      <c r="C89" s="21">
        <v>55</v>
      </c>
      <c r="D89" s="22"/>
    </row>
    <row r="90" spans="1:4">
      <c r="A90" s="21" t="s">
        <v>222</v>
      </c>
      <c r="B90" s="21" t="s">
        <v>235</v>
      </c>
      <c r="C90" s="21">
        <v>52</v>
      </c>
      <c r="D90" s="22"/>
    </row>
    <row r="91" spans="1:4">
      <c r="A91" s="21" t="s">
        <v>222</v>
      </c>
      <c r="B91" s="21" t="s">
        <v>236</v>
      </c>
      <c r="C91" s="21">
        <v>50</v>
      </c>
      <c r="D91" s="22"/>
    </row>
    <row r="92" spans="1:4">
      <c r="A92" s="21" t="s">
        <v>222</v>
      </c>
      <c r="B92" s="21" t="s">
        <v>237</v>
      </c>
      <c r="C92" s="21">
        <v>45</v>
      </c>
      <c r="D92" s="22"/>
    </row>
    <row r="93" spans="1:4">
      <c r="A93" s="25" t="s">
        <v>201</v>
      </c>
      <c r="B93" s="21"/>
      <c r="C93" s="21"/>
      <c r="D93" s="26">
        <f>SUM(C78:C92)</f>
        <v>1237</v>
      </c>
    </row>
    <row r="94" spans="1:4">
      <c r="A94" s="8" t="s">
        <v>238</v>
      </c>
      <c r="B94" s="8" t="s">
        <v>239</v>
      </c>
      <c r="C94" s="8">
        <v>7245</v>
      </c>
      <c r="D94" s="24"/>
    </row>
    <row r="95" spans="1:4">
      <c r="A95" s="8" t="s">
        <v>238</v>
      </c>
      <c r="B95" s="8" t="s">
        <v>240</v>
      </c>
      <c r="C95" s="8">
        <v>4738</v>
      </c>
      <c r="D95" s="22"/>
    </row>
    <row r="96" spans="1:4">
      <c r="A96" s="8" t="s">
        <v>238</v>
      </c>
      <c r="B96" s="8" t="s">
        <v>241</v>
      </c>
      <c r="C96" s="8">
        <v>2985</v>
      </c>
      <c r="D96" s="22"/>
    </row>
    <row r="97" spans="1:4">
      <c r="A97" s="8" t="s">
        <v>238</v>
      </c>
      <c r="B97" s="8" t="s">
        <v>242</v>
      </c>
      <c r="C97" s="8">
        <v>2859</v>
      </c>
      <c r="D97" s="22"/>
    </row>
    <row r="98" spans="1:4">
      <c r="A98" s="8" t="s">
        <v>238</v>
      </c>
      <c r="B98" s="8" t="s">
        <v>243</v>
      </c>
      <c r="C98" s="8">
        <v>1581</v>
      </c>
      <c r="D98" s="22"/>
    </row>
    <row r="99" spans="1:4">
      <c r="A99" s="8" t="s">
        <v>238</v>
      </c>
      <c r="B99" s="8" t="s">
        <v>244</v>
      </c>
      <c r="C99" s="8">
        <v>1522</v>
      </c>
      <c r="D99" s="22"/>
    </row>
    <row r="100" spans="1:4">
      <c r="A100" s="8" t="s">
        <v>238</v>
      </c>
      <c r="B100" s="8" t="s">
        <v>245</v>
      </c>
      <c r="C100" s="8">
        <v>1120</v>
      </c>
      <c r="D100" s="22"/>
    </row>
    <row r="101" spans="1:4">
      <c r="A101" s="8" t="s">
        <v>238</v>
      </c>
      <c r="B101" s="8" t="s">
        <v>246</v>
      </c>
      <c r="C101" s="8">
        <v>862</v>
      </c>
      <c r="D101" s="22"/>
    </row>
    <row r="102" spans="1:4">
      <c r="A102" s="8" t="s">
        <v>238</v>
      </c>
      <c r="B102" s="8" t="s">
        <v>247</v>
      </c>
      <c r="C102" s="8">
        <v>835</v>
      </c>
      <c r="D102" s="22"/>
    </row>
    <row r="103" spans="1:4">
      <c r="A103" s="8" t="s">
        <v>238</v>
      </c>
      <c r="B103" s="8" t="s">
        <v>248</v>
      </c>
      <c r="C103" s="8">
        <v>780</v>
      </c>
      <c r="D103" s="22"/>
    </row>
    <row r="104" spans="1:4">
      <c r="A104" s="8" t="s">
        <v>238</v>
      </c>
      <c r="B104" s="8" t="s">
        <v>249</v>
      </c>
      <c r="C104" s="8">
        <v>723</v>
      </c>
      <c r="D104" s="22"/>
    </row>
    <row r="105" spans="1:4">
      <c r="A105" s="8" t="s">
        <v>238</v>
      </c>
      <c r="B105" s="8" t="s">
        <v>250</v>
      </c>
      <c r="C105" s="8">
        <v>643</v>
      </c>
      <c r="D105" s="22"/>
    </row>
    <row r="106" spans="1:4">
      <c r="A106" s="8" t="s">
        <v>238</v>
      </c>
      <c r="B106" s="8" t="s">
        <v>251</v>
      </c>
      <c r="C106" s="8">
        <v>640</v>
      </c>
      <c r="D106" s="22"/>
    </row>
    <row r="107" spans="1:4">
      <c r="A107" s="8" t="s">
        <v>238</v>
      </c>
      <c r="B107" s="8" t="s">
        <v>252</v>
      </c>
      <c r="C107" s="8">
        <v>622</v>
      </c>
      <c r="D107" s="22"/>
    </row>
    <row r="108" spans="1:4">
      <c r="A108" s="8" t="s">
        <v>238</v>
      </c>
      <c r="B108" s="8" t="s">
        <v>253</v>
      </c>
      <c r="C108" s="8">
        <v>603</v>
      </c>
      <c r="D108" s="22"/>
    </row>
    <row r="109" spans="1:4">
      <c r="A109" s="25" t="s">
        <v>201</v>
      </c>
      <c r="B109" s="8"/>
      <c r="C109" s="8"/>
      <c r="D109" s="26">
        <f>SUM(C94:C108)</f>
        <v>27758</v>
      </c>
    </row>
    <row r="110" spans="1:4">
      <c r="A110" s="21" t="s">
        <v>254</v>
      </c>
      <c r="B110" s="21" t="s">
        <v>255</v>
      </c>
      <c r="C110" s="21">
        <v>852</v>
      </c>
      <c r="D110" s="24"/>
    </row>
    <row r="111" spans="1:4">
      <c r="A111" s="21" t="s">
        <v>254</v>
      </c>
      <c r="B111" s="21" t="s">
        <v>256</v>
      </c>
      <c r="C111" s="21">
        <v>697</v>
      </c>
      <c r="D111" s="22"/>
    </row>
    <row r="112" spans="1:4">
      <c r="A112" s="21" t="s">
        <v>254</v>
      </c>
      <c r="B112" s="21" t="s">
        <v>257</v>
      </c>
      <c r="C112" s="21">
        <v>362</v>
      </c>
      <c r="D112" s="22"/>
    </row>
    <row r="113" spans="1:4">
      <c r="A113" s="21" t="s">
        <v>254</v>
      </c>
      <c r="B113" s="21" t="s">
        <v>164</v>
      </c>
      <c r="C113" s="21">
        <v>289</v>
      </c>
      <c r="D113" s="22"/>
    </row>
    <row r="114" spans="1:4">
      <c r="A114" s="21" t="s">
        <v>254</v>
      </c>
      <c r="B114" s="21" t="s">
        <v>258</v>
      </c>
      <c r="C114" s="21">
        <v>226</v>
      </c>
      <c r="D114" s="22"/>
    </row>
    <row r="115" spans="1:4">
      <c r="A115" s="21" t="s">
        <v>254</v>
      </c>
      <c r="B115" s="21" t="s">
        <v>259</v>
      </c>
      <c r="C115" s="21">
        <v>140</v>
      </c>
      <c r="D115" s="22"/>
    </row>
    <row r="116" spans="1:4">
      <c r="A116" s="21" t="s">
        <v>254</v>
      </c>
      <c r="B116" s="21" t="s">
        <v>260</v>
      </c>
      <c r="C116" s="21">
        <v>136</v>
      </c>
      <c r="D116" s="22"/>
    </row>
    <row r="117" spans="1:4">
      <c r="A117" s="21" t="s">
        <v>254</v>
      </c>
      <c r="B117" s="21" t="s">
        <v>261</v>
      </c>
      <c r="C117" s="21">
        <v>100</v>
      </c>
      <c r="D117" s="22"/>
    </row>
    <row r="118" spans="1:4">
      <c r="A118" s="21" t="s">
        <v>254</v>
      </c>
      <c r="B118" s="21" t="s">
        <v>262</v>
      </c>
      <c r="C118" s="21">
        <v>90</v>
      </c>
      <c r="D118" s="22"/>
    </row>
    <row r="119" spans="1:4">
      <c r="A119" s="21" t="s">
        <v>254</v>
      </c>
      <c r="B119" s="21" t="s">
        <v>263</v>
      </c>
      <c r="C119" s="21">
        <v>88</v>
      </c>
      <c r="D119" s="22"/>
    </row>
    <row r="120" spans="1:4">
      <c r="A120" s="21" t="s">
        <v>254</v>
      </c>
      <c r="B120" s="21" t="s">
        <v>264</v>
      </c>
      <c r="C120" s="21">
        <v>79</v>
      </c>
      <c r="D120" s="22"/>
    </row>
    <row r="121" spans="1:4">
      <c r="A121" s="21" t="s">
        <v>254</v>
      </c>
      <c r="B121" s="21" t="s">
        <v>265</v>
      </c>
      <c r="C121" s="21">
        <v>75</v>
      </c>
      <c r="D121" s="22"/>
    </row>
    <row r="122" spans="1:4">
      <c r="A122" s="21" t="s">
        <v>254</v>
      </c>
      <c r="B122" s="21" t="s">
        <v>266</v>
      </c>
      <c r="C122" s="21">
        <v>65</v>
      </c>
      <c r="D122" s="22"/>
    </row>
    <row r="123" spans="1:4">
      <c r="A123" s="21" t="s">
        <v>254</v>
      </c>
      <c r="B123" s="21" t="s">
        <v>267</v>
      </c>
      <c r="C123" s="21">
        <v>55</v>
      </c>
      <c r="D123" s="22"/>
    </row>
    <row r="124" spans="1:4">
      <c r="A124" s="21" t="s">
        <v>254</v>
      </c>
      <c r="B124" s="21" t="s">
        <v>268</v>
      </c>
      <c r="C124" s="21">
        <v>52</v>
      </c>
      <c r="D124" s="22"/>
    </row>
    <row r="125" spans="1:4">
      <c r="A125" s="25" t="s">
        <v>201</v>
      </c>
      <c r="B125" s="21"/>
      <c r="C125" s="21"/>
      <c r="D125" s="26">
        <f>SUM(C110:C124)</f>
        <v>3306</v>
      </c>
    </row>
    <row r="126" spans="1:4">
      <c r="A126" s="8" t="s">
        <v>269</v>
      </c>
      <c r="B126" s="8" t="s">
        <v>270</v>
      </c>
      <c r="C126" s="8">
        <v>45783</v>
      </c>
      <c r="D126" s="24"/>
    </row>
    <row r="127" spans="1:4">
      <c r="A127" s="8" t="s">
        <v>269</v>
      </c>
      <c r="B127" s="8" t="s">
        <v>271</v>
      </c>
      <c r="C127" s="8">
        <v>11123</v>
      </c>
      <c r="D127" s="22"/>
    </row>
    <row r="128" spans="1:4">
      <c r="A128" s="8" t="s">
        <v>269</v>
      </c>
      <c r="B128" s="8" t="s">
        <v>272</v>
      </c>
      <c r="C128" s="8">
        <v>5612</v>
      </c>
      <c r="D128" s="22"/>
    </row>
    <row r="129" spans="1:4">
      <c r="A129" s="50" t="s">
        <v>269</v>
      </c>
      <c r="B129" s="50" t="s">
        <v>273</v>
      </c>
      <c r="C129" s="50">
        <v>3922</v>
      </c>
      <c r="D129" s="22"/>
    </row>
    <row r="130" spans="1:4">
      <c r="A130" s="50" t="s">
        <v>269</v>
      </c>
      <c r="B130" s="50" t="s">
        <v>274</v>
      </c>
      <c r="C130" s="50">
        <v>2326</v>
      </c>
      <c r="D130" s="22"/>
    </row>
    <row r="131" spans="1:4">
      <c r="A131" s="50" t="s">
        <v>269</v>
      </c>
      <c r="B131" s="50" t="s">
        <v>275</v>
      </c>
      <c r="C131" s="50">
        <v>1194</v>
      </c>
      <c r="D131" s="22"/>
    </row>
    <row r="132" spans="1:4">
      <c r="A132" s="50" t="s">
        <v>269</v>
      </c>
      <c r="B132" s="50" t="s">
        <v>276</v>
      </c>
      <c r="C132" s="50">
        <v>562</v>
      </c>
      <c r="D132" s="22"/>
    </row>
    <row r="133" spans="1:4">
      <c r="A133" s="50" t="s">
        <v>269</v>
      </c>
      <c r="B133" s="50" t="s">
        <v>277</v>
      </c>
      <c r="C133" s="50">
        <v>262</v>
      </c>
      <c r="D133" s="22"/>
    </row>
    <row r="134" spans="1:4">
      <c r="A134" s="50" t="s">
        <v>269</v>
      </c>
      <c r="B134" s="50" t="s">
        <v>278</v>
      </c>
      <c r="C134" s="50">
        <v>145</v>
      </c>
      <c r="D134" s="22"/>
    </row>
    <row r="135" spans="1:4">
      <c r="A135" s="50" t="s">
        <v>269</v>
      </c>
      <c r="B135" s="50" t="s">
        <v>279</v>
      </c>
      <c r="C135" s="50">
        <v>102</v>
      </c>
      <c r="D135" s="22"/>
    </row>
    <row r="136" spans="1:4">
      <c r="A136" s="50" t="s">
        <v>269</v>
      </c>
      <c r="B136" s="50" t="s">
        <v>280</v>
      </c>
      <c r="C136" s="50">
        <v>95</v>
      </c>
      <c r="D136" s="22"/>
    </row>
    <row r="137" spans="1:4">
      <c r="A137" s="50" t="s">
        <v>269</v>
      </c>
      <c r="B137" s="50" t="s">
        <v>281</v>
      </c>
      <c r="C137" s="50">
        <v>37</v>
      </c>
      <c r="D137" s="22"/>
    </row>
    <row r="138" spans="1:4">
      <c r="A138" s="50" t="s">
        <v>269</v>
      </c>
      <c r="B138" s="50" t="s">
        <v>282</v>
      </c>
      <c r="C138" s="50">
        <v>36</v>
      </c>
      <c r="D138" s="22"/>
    </row>
    <row r="139" spans="1:4">
      <c r="A139" s="50" t="s">
        <v>269</v>
      </c>
      <c r="B139" s="50" t="s">
        <v>283</v>
      </c>
      <c r="C139" s="50">
        <v>32</v>
      </c>
      <c r="D139" s="22"/>
    </row>
    <row r="140" spans="1:4">
      <c r="A140" s="50" t="s">
        <v>269</v>
      </c>
      <c r="B140" s="50" t="s">
        <v>284</v>
      </c>
      <c r="C140" s="50">
        <v>27</v>
      </c>
      <c r="D140" s="22"/>
    </row>
    <row r="141" spans="1:4">
      <c r="A141" s="50" t="s">
        <v>269</v>
      </c>
      <c r="B141" s="50" t="s">
        <v>285</v>
      </c>
      <c r="C141" s="50">
        <v>27</v>
      </c>
      <c r="D141" s="22"/>
    </row>
    <row r="142" spans="1:4">
      <c r="A142" s="50" t="s">
        <v>269</v>
      </c>
      <c r="B142" s="50" t="s">
        <v>286</v>
      </c>
      <c r="C142" s="50">
        <v>22</v>
      </c>
      <c r="D142" s="22"/>
    </row>
    <row r="143" spans="1:4">
      <c r="A143" s="50" t="s">
        <v>269</v>
      </c>
      <c r="B143" s="50" t="s">
        <v>287</v>
      </c>
      <c r="C143" s="50">
        <v>19</v>
      </c>
      <c r="D143" s="22"/>
    </row>
    <row r="144" spans="1:4">
      <c r="A144" s="50" t="s">
        <v>269</v>
      </c>
      <c r="B144" s="50" t="s">
        <v>288</v>
      </c>
      <c r="C144" s="50">
        <v>9</v>
      </c>
      <c r="D144" s="22"/>
    </row>
    <row r="145" spans="1:4">
      <c r="A145" s="50" t="s">
        <v>269</v>
      </c>
      <c r="B145" s="50" t="s">
        <v>289</v>
      </c>
      <c r="C145" s="50">
        <v>7</v>
      </c>
      <c r="D145" s="22"/>
    </row>
    <row r="146" spans="1:4">
      <c r="A146" s="50" t="s">
        <v>269</v>
      </c>
      <c r="B146" s="50" t="s">
        <v>290</v>
      </c>
      <c r="C146" s="50">
        <v>7</v>
      </c>
      <c r="D146" s="22"/>
    </row>
    <row r="147" spans="1:4">
      <c r="A147" s="50" t="s">
        <v>269</v>
      </c>
      <c r="B147" s="50" t="s">
        <v>291</v>
      </c>
      <c r="C147" s="50">
        <v>6</v>
      </c>
      <c r="D147" s="22"/>
    </row>
    <row r="148" spans="1:4">
      <c r="A148" s="50" t="s">
        <v>269</v>
      </c>
      <c r="B148" s="50" t="s">
        <v>292</v>
      </c>
      <c r="C148" s="50">
        <v>5</v>
      </c>
      <c r="D148" s="22"/>
    </row>
    <row r="149" spans="1:4">
      <c r="A149" s="50" t="s">
        <v>269</v>
      </c>
      <c r="B149" s="50" t="s">
        <v>293</v>
      </c>
      <c r="C149" s="50">
        <v>5</v>
      </c>
      <c r="D149" s="22"/>
    </row>
    <row r="150" spans="1:4">
      <c r="A150" s="8" t="s">
        <v>269</v>
      </c>
      <c r="B150" s="8" t="s">
        <v>294</v>
      </c>
      <c r="C150" s="8">
        <v>5</v>
      </c>
      <c r="D150" s="22"/>
    </row>
    <row r="151" spans="1:4">
      <c r="A151" s="8" t="s">
        <v>269</v>
      </c>
      <c r="B151" s="8" t="s">
        <v>295</v>
      </c>
      <c r="C151" s="8">
        <v>4</v>
      </c>
      <c r="D151" s="22"/>
    </row>
    <row r="152" spans="1:4">
      <c r="A152" s="8" t="s">
        <v>269</v>
      </c>
      <c r="B152" s="8" t="s">
        <v>296</v>
      </c>
      <c r="C152" s="8">
        <v>4</v>
      </c>
      <c r="D152" s="22"/>
    </row>
    <row r="153" spans="1:4">
      <c r="A153" s="8" t="s">
        <v>269</v>
      </c>
      <c r="B153" s="8" t="s">
        <v>297</v>
      </c>
      <c r="C153" s="8">
        <v>4</v>
      </c>
      <c r="D153" s="22"/>
    </row>
    <row r="154" spans="1:4">
      <c r="A154" s="8" t="s">
        <v>269</v>
      </c>
      <c r="B154" s="8" t="s">
        <v>298</v>
      </c>
      <c r="C154" s="8">
        <v>3</v>
      </c>
      <c r="D154" s="22"/>
    </row>
    <row r="155" spans="1:4">
      <c r="A155" s="8" t="s">
        <v>269</v>
      </c>
      <c r="B155" s="8" t="s">
        <v>299</v>
      </c>
      <c r="C155" s="8">
        <v>3</v>
      </c>
      <c r="D155" s="22"/>
    </row>
    <row r="156" spans="1:4">
      <c r="A156" s="8" t="s">
        <v>269</v>
      </c>
      <c r="B156" s="8" t="s">
        <v>300</v>
      </c>
      <c r="C156" s="8">
        <v>3</v>
      </c>
      <c r="D156" s="22"/>
    </row>
    <row r="157" spans="1:4">
      <c r="A157" s="8" t="s">
        <v>269</v>
      </c>
      <c r="B157" s="8" t="s">
        <v>301</v>
      </c>
      <c r="C157" s="8">
        <v>2</v>
      </c>
      <c r="D157" s="22"/>
    </row>
    <row r="158" spans="1:4">
      <c r="A158" s="8" t="s">
        <v>269</v>
      </c>
      <c r="B158" s="8" t="s">
        <v>302</v>
      </c>
      <c r="C158" s="8">
        <v>2</v>
      </c>
      <c r="D158" s="22"/>
    </row>
    <row r="159" spans="1:4">
      <c r="A159" s="8" t="s">
        <v>269</v>
      </c>
      <c r="B159" s="8" t="s">
        <v>303</v>
      </c>
      <c r="C159" s="8">
        <v>2</v>
      </c>
      <c r="D159" s="22"/>
    </row>
    <row r="160" spans="1:4">
      <c r="A160" s="8" t="s">
        <v>269</v>
      </c>
      <c r="B160" s="8" t="s">
        <v>304</v>
      </c>
      <c r="C160" s="8">
        <v>2</v>
      </c>
      <c r="D160" s="22"/>
    </row>
    <row r="161" spans="1:4">
      <c r="A161" s="8" t="s">
        <v>269</v>
      </c>
      <c r="B161" s="8" t="s">
        <v>305</v>
      </c>
      <c r="C161" s="8">
        <v>2</v>
      </c>
      <c r="D161" s="22"/>
    </row>
    <row r="162" spans="1:4">
      <c r="A162" s="8" t="s">
        <v>269</v>
      </c>
      <c r="B162" s="8" t="s">
        <v>306</v>
      </c>
      <c r="C162" s="8">
        <v>1</v>
      </c>
      <c r="D162" s="22"/>
    </row>
    <row r="163" spans="1:4">
      <c r="A163" s="8" t="s">
        <v>269</v>
      </c>
      <c r="B163" s="8" t="s">
        <v>307</v>
      </c>
      <c r="C163" s="8">
        <v>1</v>
      </c>
      <c r="D163" s="22"/>
    </row>
    <row r="164" spans="1:4">
      <c r="A164" s="8" t="s">
        <v>269</v>
      </c>
      <c r="B164" s="8" t="s">
        <v>308</v>
      </c>
      <c r="C164" s="8">
        <v>1</v>
      </c>
      <c r="D164" s="22"/>
    </row>
    <row r="165" spans="1:4">
      <c r="A165" s="8" t="s">
        <v>269</v>
      </c>
      <c r="B165" s="8" t="s">
        <v>309</v>
      </c>
      <c r="C165" s="8">
        <v>1</v>
      </c>
      <c r="D165" s="22"/>
    </row>
    <row r="166" spans="1:4">
      <c r="A166" s="8" t="s">
        <v>269</v>
      </c>
      <c r="B166" s="8" t="s">
        <v>310</v>
      </c>
      <c r="C166" s="8">
        <v>1</v>
      </c>
      <c r="D166" s="22"/>
    </row>
    <row r="167" spans="1:4">
      <c r="A167" s="8" t="s">
        <v>269</v>
      </c>
      <c r="B167" s="8" t="s">
        <v>311</v>
      </c>
      <c r="C167" s="8">
        <v>1</v>
      </c>
      <c r="D167" s="22"/>
    </row>
    <row r="168" spans="1:4">
      <c r="A168" s="8" t="s">
        <v>269</v>
      </c>
      <c r="B168" s="8" t="s">
        <v>312</v>
      </c>
      <c r="C168" s="8">
        <v>1</v>
      </c>
      <c r="D168" s="22"/>
    </row>
    <row r="169" spans="1:4">
      <c r="A169" s="8" t="s">
        <v>269</v>
      </c>
      <c r="B169" s="8" t="s">
        <v>313</v>
      </c>
      <c r="C169" s="8">
        <v>1</v>
      </c>
      <c r="D169" s="22"/>
    </row>
    <row r="170" spans="1:4">
      <c r="A170" s="8" t="s">
        <v>269</v>
      </c>
      <c r="B170" s="8" t="s">
        <v>314</v>
      </c>
      <c r="C170" s="8">
        <v>1</v>
      </c>
      <c r="D170" s="22"/>
    </row>
    <row r="171" spans="1:4">
      <c r="A171" s="8" t="s">
        <v>269</v>
      </c>
      <c r="B171" s="8" t="s">
        <v>315</v>
      </c>
      <c r="C171" s="8">
        <v>1</v>
      </c>
      <c r="D171" s="22"/>
    </row>
    <row r="172" spans="1:4">
      <c r="A172" s="8" t="s">
        <v>269</v>
      </c>
      <c r="B172" s="8" t="s">
        <v>316</v>
      </c>
      <c r="C172" s="8">
        <v>1</v>
      </c>
      <c r="D172" s="22"/>
    </row>
    <row r="173" spans="1:4">
      <c r="A173" s="8" t="s">
        <v>269</v>
      </c>
      <c r="B173" s="8" t="s">
        <v>317</v>
      </c>
      <c r="C173" s="8">
        <v>1</v>
      </c>
      <c r="D173" s="23">
        <f>SUM(C126:C173)</f>
        <v>71413</v>
      </c>
    </row>
    <row r="174" spans="1:4">
      <c r="A174" s="21" t="s">
        <v>318</v>
      </c>
      <c r="B174" s="21" t="s">
        <v>319</v>
      </c>
      <c r="C174" s="21">
        <v>39191</v>
      </c>
      <c r="D174" s="24"/>
    </row>
    <row r="175" spans="1:4">
      <c r="A175" s="21" t="s">
        <v>318</v>
      </c>
      <c r="B175" s="21" t="s">
        <v>320</v>
      </c>
      <c r="C175" s="21">
        <v>29752</v>
      </c>
      <c r="D175" s="22"/>
    </row>
    <row r="176" spans="1:4">
      <c r="A176" s="21" t="s">
        <v>318</v>
      </c>
      <c r="B176" s="21" t="s">
        <v>321</v>
      </c>
      <c r="C176" s="21">
        <v>276</v>
      </c>
      <c r="D176" s="22"/>
    </row>
    <row r="177" spans="1:4">
      <c r="A177" s="21" t="s">
        <v>318</v>
      </c>
      <c r="B177" s="21" t="s">
        <v>322</v>
      </c>
      <c r="C177" s="21">
        <v>60</v>
      </c>
      <c r="D177" s="22"/>
    </row>
    <row r="178" spans="1:4">
      <c r="A178" s="21" t="s">
        <v>318</v>
      </c>
      <c r="B178" s="21" t="s">
        <v>323</v>
      </c>
      <c r="C178" s="21">
        <v>59</v>
      </c>
      <c r="D178" s="22"/>
    </row>
    <row r="179" spans="1:4">
      <c r="A179" s="21" t="s">
        <v>318</v>
      </c>
      <c r="B179" s="21" t="s">
        <v>324</v>
      </c>
      <c r="C179" s="21">
        <v>20</v>
      </c>
      <c r="D179" s="22"/>
    </row>
    <row r="180" spans="1:4">
      <c r="A180" s="21" t="s">
        <v>318</v>
      </c>
      <c r="B180" s="21" t="s">
        <v>325</v>
      </c>
      <c r="C180" s="21">
        <v>19</v>
      </c>
      <c r="D180" s="23">
        <f>SUM(C174:C180)</f>
        <v>69377</v>
      </c>
    </row>
    <row r="181" spans="1:4">
      <c r="A181" s="13"/>
      <c r="B181" s="13"/>
      <c r="C181" s="13"/>
    </row>
    <row r="182" spans="1:4">
      <c r="A182" s="13"/>
      <c r="B182" s="13"/>
      <c r="C182" s="13"/>
    </row>
    <row r="183" spans="1:4">
      <c r="A183" s="13"/>
      <c r="B183" s="13"/>
      <c r="C183" s="13"/>
    </row>
    <row r="184" spans="1:4">
      <c r="A184" s="13"/>
      <c r="B184" s="13"/>
      <c r="C184" s="13"/>
    </row>
    <row r="185" spans="1:4">
      <c r="A185" s="13"/>
      <c r="B185" s="13"/>
      <c r="C18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zoomScaleNormal="100" zoomScaleSheetLayoutView="100" workbookViewId="0">
      <selection activeCell="H12" sqref="H12"/>
    </sheetView>
  </sheetViews>
  <sheetFormatPr baseColWidth="10" defaultColWidth="12.5" defaultRowHeight="13"/>
  <cols>
    <col min="1" max="1" width="19.1640625" customWidth="1"/>
    <col min="2" max="2" width="18.5" customWidth="1"/>
    <col min="4" max="4" width="15.83203125" customWidth="1"/>
  </cols>
  <sheetData>
    <row r="1" spans="1:6">
      <c r="A1" s="27" t="s">
        <v>124</v>
      </c>
      <c r="B1" s="28" t="s">
        <v>326</v>
      </c>
    </row>
    <row r="2" spans="1:6">
      <c r="A2" s="27" t="s">
        <v>63</v>
      </c>
      <c r="B2" s="28" t="s">
        <v>82</v>
      </c>
    </row>
    <row r="3" spans="1:6">
      <c r="A3" s="27" t="s">
        <v>64</v>
      </c>
      <c r="B3" s="28" t="s">
        <v>327</v>
      </c>
    </row>
    <row r="4" spans="1:6">
      <c r="A4" s="27" t="s">
        <v>328</v>
      </c>
      <c r="B4" s="28" t="inlineStr">
        <is>
          <t xml:space="preserve">[CENSURADO]</t>
        </is>
      </c>
    </row>
    <row r="5" spans="1:6">
      <c r="A5" s="27" t="s">
        <v>127</v>
      </c>
      <c r="B5" s="28" t="inlineStr">
        <is>
          <t xml:space="preserve">[CENSURADO], [CENSURADO], [CENSURADO]</t>
        </is>
      </c>
    </row>
    <row r="6" spans="1:6">
      <c r="A6" s="29"/>
      <c r="B6" s="30"/>
    </row>
    <row r="7" spans="1:6">
      <c r="A7" s="17" t="s">
        <v>154</v>
      </c>
      <c r="B7" s="53" t="s">
        <v>155</v>
      </c>
      <c r="C7" s="18"/>
      <c r="D7" s="18">
        <v>5275</v>
      </c>
    </row>
    <row r="8" spans="1:6">
      <c r="A8" s="31" t="s">
        <v>156</v>
      </c>
      <c r="B8" s="31" t="s">
        <v>157</v>
      </c>
      <c r="C8" s="31" t="s">
        <v>158</v>
      </c>
      <c r="D8" s="20" t="s">
        <v>329</v>
      </c>
      <c r="F8" s="13"/>
    </row>
    <row r="9" spans="1:6">
      <c r="A9" s="32" t="s">
        <v>330</v>
      </c>
      <c r="B9" s="32" t="s">
        <v>222</v>
      </c>
      <c r="C9" s="32">
        <v>4</v>
      </c>
      <c r="D9" s="22"/>
    </row>
    <row r="10" spans="1:6">
      <c r="A10" s="32" t="s">
        <v>330</v>
      </c>
      <c r="B10" s="32" t="s">
        <v>331</v>
      </c>
      <c r="C10" s="32">
        <v>1</v>
      </c>
      <c r="D10" s="22"/>
    </row>
    <row r="11" spans="1:6">
      <c r="A11" s="32" t="s">
        <v>330</v>
      </c>
      <c r="B11" s="32" t="s">
        <v>332</v>
      </c>
      <c r="C11" s="32">
        <v>14</v>
      </c>
      <c r="D11" s="22"/>
    </row>
    <row r="12" spans="1:6">
      <c r="A12" s="32" t="s">
        <v>330</v>
      </c>
      <c r="B12" s="32" t="s">
        <v>333</v>
      </c>
      <c r="C12" s="32">
        <v>11</v>
      </c>
      <c r="D12" s="22"/>
    </row>
    <row r="13" spans="1:6">
      <c r="A13" s="32" t="s">
        <v>330</v>
      </c>
      <c r="B13" s="32" t="s">
        <v>182</v>
      </c>
      <c r="C13" s="32">
        <v>169</v>
      </c>
      <c r="D13" s="22"/>
    </row>
    <row r="14" spans="1:6">
      <c r="A14" s="32" t="s">
        <v>330</v>
      </c>
      <c r="B14" s="32" t="s">
        <v>334</v>
      </c>
      <c r="C14" s="32">
        <v>7</v>
      </c>
      <c r="D14" s="22"/>
    </row>
    <row r="15" spans="1:6">
      <c r="A15" s="32" t="s">
        <v>330</v>
      </c>
      <c r="B15" s="32" t="s">
        <v>335</v>
      </c>
      <c r="C15" s="32">
        <v>168</v>
      </c>
      <c r="D15" s="22"/>
    </row>
    <row r="16" spans="1:6">
      <c r="A16" s="32" t="s">
        <v>330</v>
      </c>
      <c r="B16" s="32" t="s">
        <v>336</v>
      </c>
      <c r="C16" s="32">
        <v>2199</v>
      </c>
      <c r="D16" s="22"/>
    </row>
    <row r="17" spans="1:4">
      <c r="A17" s="32" t="s">
        <v>330</v>
      </c>
      <c r="B17" s="32" t="s">
        <v>337</v>
      </c>
      <c r="C17" s="32">
        <v>451</v>
      </c>
      <c r="D17" s="22"/>
    </row>
    <row r="18" spans="1:4">
      <c r="A18" s="32" t="s">
        <v>330</v>
      </c>
      <c r="B18" s="32" t="s">
        <v>338</v>
      </c>
      <c r="C18" s="32">
        <v>2251</v>
      </c>
      <c r="D18" s="23">
        <f>SUM(C9:C18)</f>
        <v>5275</v>
      </c>
    </row>
    <row r="19" spans="1:4">
      <c r="A19" s="33" t="s">
        <v>104</v>
      </c>
      <c r="B19" s="33" t="s">
        <v>339</v>
      </c>
      <c r="C19" s="33">
        <v>1980</v>
      </c>
      <c r="D19" s="24"/>
    </row>
    <row r="20" spans="1:4">
      <c r="A20" s="33" t="s">
        <v>104</v>
      </c>
      <c r="B20" s="33" t="s">
        <v>340</v>
      </c>
      <c r="C20" s="33">
        <v>3295</v>
      </c>
      <c r="D20" s="23">
        <f>SUM(C19:C20)</f>
        <v>5275</v>
      </c>
    </row>
    <row r="21" spans="1:4">
      <c r="A21" s="32" t="s">
        <v>341</v>
      </c>
      <c r="B21" s="32" t="s">
        <v>342</v>
      </c>
      <c r="C21" s="32">
        <v>1</v>
      </c>
      <c r="D21" s="24"/>
    </row>
    <row r="22" spans="1:4">
      <c r="A22" s="32" t="s">
        <v>341</v>
      </c>
      <c r="B22" s="32" t="s">
        <v>343</v>
      </c>
      <c r="C22" s="32">
        <v>1</v>
      </c>
      <c r="D22" s="22"/>
    </row>
    <row r="23" spans="1:4">
      <c r="A23" s="32" t="s">
        <v>341</v>
      </c>
      <c r="B23" s="32" t="s">
        <v>344</v>
      </c>
      <c r="C23" s="32">
        <v>2</v>
      </c>
      <c r="D23" s="22"/>
    </row>
    <row r="24" spans="1:4">
      <c r="A24" s="32" t="s">
        <v>341</v>
      </c>
      <c r="B24" s="32" t="s">
        <v>345</v>
      </c>
      <c r="C24" s="32">
        <v>18</v>
      </c>
      <c r="D24" s="22"/>
    </row>
    <row r="25" spans="1:4">
      <c r="A25" s="32" t="s">
        <v>341</v>
      </c>
      <c r="B25" s="32" t="s">
        <v>346</v>
      </c>
      <c r="C25" s="32">
        <v>19</v>
      </c>
      <c r="D25" s="22"/>
    </row>
    <row r="26" spans="1:4">
      <c r="A26" s="32" t="s">
        <v>341</v>
      </c>
      <c r="B26" s="32" t="s">
        <v>347</v>
      </c>
      <c r="C26" s="32">
        <v>24</v>
      </c>
      <c r="D26" s="22"/>
    </row>
    <row r="27" spans="1:4">
      <c r="A27" s="32" t="s">
        <v>341</v>
      </c>
      <c r="B27" s="32" t="s">
        <v>348</v>
      </c>
      <c r="C27" s="32">
        <v>43</v>
      </c>
      <c r="D27" s="22"/>
    </row>
    <row r="28" spans="1:4">
      <c r="A28" s="32" t="s">
        <v>341</v>
      </c>
      <c r="B28" s="32" t="s">
        <v>349</v>
      </c>
      <c r="C28" s="32">
        <v>48</v>
      </c>
      <c r="D28" s="22"/>
    </row>
    <row r="29" spans="1:4">
      <c r="A29" s="32" t="s">
        <v>341</v>
      </c>
      <c r="B29" s="32" t="s">
        <v>350</v>
      </c>
      <c r="C29" s="32">
        <v>146</v>
      </c>
      <c r="D29" s="22"/>
    </row>
    <row r="30" spans="1:4">
      <c r="A30" s="32" t="s">
        <v>341</v>
      </c>
      <c r="B30" s="32" t="s">
        <v>351</v>
      </c>
      <c r="C30" s="32">
        <v>3481</v>
      </c>
      <c r="D30" s="23">
        <f>SUM(C21:C30)</f>
        <v>3783</v>
      </c>
    </row>
    <row r="32" spans="1:4">
      <c r="A32" s="13" t="s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zoomScaleNormal="100" zoomScaleSheetLayoutView="100" workbookViewId="0">
      <selection activeCell="G21" sqref="G21"/>
    </sheetView>
  </sheetViews>
  <sheetFormatPr baseColWidth="10" defaultColWidth="12.5" defaultRowHeight="13"/>
  <cols>
    <col min="1" max="1" width="18.5" customWidth="1"/>
    <col min="2" max="2" width="30" customWidth="1"/>
    <col min="4" max="4" width="16.1640625" customWidth="1"/>
  </cols>
  <sheetData>
    <row r="1" spans="1:4">
      <c r="A1" s="27" t="s">
        <v>124</v>
      </c>
      <c r="B1" s="28" t="s">
        <v>353</v>
      </c>
    </row>
    <row r="2" spans="1:4">
      <c r="A2" s="27" t="s">
        <v>63</v>
      </c>
      <c r="B2" s="28" t="s">
        <v>87</v>
      </c>
    </row>
    <row r="3" spans="1:4">
      <c r="A3" s="27" t="s">
        <v>64</v>
      </c>
      <c r="B3" s="28" t="s">
        <v>327</v>
      </c>
    </row>
    <row r="4" spans="1:4">
      <c r="A4" s="27" t="s">
        <v>126</v>
      </c>
      <c r="B4" s="28" t="inlineStr">
        <is>
          <t xml:space="preserve">[CENSURADO]</t>
        </is>
      </c>
    </row>
    <row r="5" spans="1:4">
      <c r="A5" s="34" t="s">
        <v>354</v>
      </c>
      <c r="B5" s="13" t="inlineStr">
        <is>
          <t xml:space="preserve">[CENSURADO], [CENSURADO]</t>
        </is>
      </c>
    </row>
    <row r="7" spans="1:4">
      <c r="A7" s="17" t="s">
        <v>154</v>
      </c>
      <c r="B7" s="53" t="s">
        <v>155</v>
      </c>
      <c r="C7" s="18"/>
      <c r="D7" s="18">
        <v>275</v>
      </c>
    </row>
    <row r="8" spans="1:4">
      <c r="A8" s="31" t="s">
        <v>156</v>
      </c>
      <c r="B8" s="31" t="s">
        <v>157</v>
      </c>
      <c r="C8" s="31" t="s">
        <v>158</v>
      </c>
      <c r="D8" s="20" t="s">
        <v>329</v>
      </c>
    </row>
    <row r="9" spans="1:4">
      <c r="A9" s="32" t="s">
        <v>355</v>
      </c>
      <c r="B9" s="32" t="s">
        <v>356</v>
      </c>
      <c r="C9" s="32">
        <v>272</v>
      </c>
      <c r="D9" s="22"/>
    </row>
    <row r="10" spans="1:4">
      <c r="A10" s="32" t="s">
        <v>355</v>
      </c>
      <c r="B10" s="32" t="s">
        <v>357</v>
      </c>
      <c r="C10" s="32">
        <v>3</v>
      </c>
      <c r="D10" s="23">
        <f>SUM(C9:C10)</f>
        <v>275</v>
      </c>
    </row>
    <row r="11" spans="1:4">
      <c r="A11" s="33" t="s">
        <v>358</v>
      </c>
      <c r="B11" s="33" t="s">
        <v>359</v>
      </c>
      <c r="C11" s="33">
        <v>72</v>
      </c>
      <c r="D11" s="24"/>
    </row>
    <row r="12" spans="1:4">
      <c r="A12" s="33" t="s">
        <v>358</v>
      </c>
      <c r="B12" s="33" t="s">
        <v>360</v>
      </c>
      <c r="C12" s="33">
        <v>38</v>
      </c>
      <c r="D12" s="22"/>
    </row>
    <row r="13" spans="1:4">
      <c r="A13" s="33" t="s">
        <v>358</v>
      </c>
      <c r="B13" s="33" t="s">
        <v>361</v>
      </c>
      <c r="C13" s="33">
        <v>29</v>
      </c>
      <c r="D13" s="22"/>
    </row>
    <row r="14" spans="1:4">
      <c r="A14" s="33" t="s">
        <v>358</v>
      </c>
      <c r="B14" s="33" t="s">
        <v>362</v>
      </c>
      <c r="C14" s="33">
        <v>6</v>
      </c>
      <c r="D14" s="22"/>
    </row>
    <row r="15" spans="1:4">
      <c r="A15" s="33" t="s">
        <v>358</v>
      </c>
      <c r="B15" s="33" t="s">
        <v>363</v>
      </c>
      <c r="C15" s="33">
        <v>2</v>
      </c>
      <c r="D15" s="22"/>
    </row>
    <row r="16" spans="1:4">
      <c r="A16" s="33" t="s">
        <v>358</v>
      </c>
      <c r="B16" s="33" t="s">
        <v>364</v>
      </c>
      <c r="C16" s="33">
        <v>1</v>
      </c>
      <c r="D16" s="22"/>
    </row>
    <row r="17" spans="1:4">
      <c r="A17" s="33" t="s">
        <v>358</v>
      </c>
      <c r="B17" s="33" t="s">
        <v>365</v>
      </c>
      <c r="C17" s="33">
        <v>1</v>
      </c>
      <c r="D17" s="23">
        <f>SUM(C11:C17)</f>
        <v>149</v>
      </c>
    </row>
    <row r="18" spans="1:4">
      <c r="A18" s="32" t="s">
        <v>366</v>
      </c>
      <c r="B18" s="32" t="s">
        <v>191</v>
      </c>
      <c r="C18" s="32">
        <v>199</v>
      </c>
      <c r="D18" s="24"/>
    </row>
    <row r="19" spans="1:4">
      <c r="A19" s="32" t="s">
        <v>366</v>
      </c>
      <c r="B19" s="32" t="s">
        <v>359</v>
      </c>
      <c r="C19" s="32">
        <v>72</v>
      </c>
      <c r="D19" s="22"/>
    </row>
    <row r="20" spans="1:4">
      <c r="A20" s="32" t="s">
        <v>366</v>
      </c>
      <c r="B20" s="32" t="s">
        <v>367</v>
      </c>
      <c r="C20" s="32">
        <v>1</v>
      </c>
      <c r="D20" s="23">
        <f>SUM(C18:C20)</f>
        <v>272</v>
      </c>
    </row>
    <row r="21" spans="1:4">
      <c r="A21" s="33" t="s">
        <v>368</v>
      </c>
      <c r="B21" s="33" t="s">
        <v>369</v>
      </c>
      <c r="C21" s="33">
        <v>1</v>
      </c>
      <c r="D21" s="24"/>
    </row>
    <row r="22" spans="1:4">
      <c r="A22" s="33" t="s">
        <v>368</v>
      </c>
      <c r="B22" s="33" t="s">
        <v>370</v>
      </c>
      <c r="C22" s="33">
        <v>1</v>
      </c>
      <c r="D22" s="22"/>
    </row>
    <row r="23" spans="1:4">
      <c r="A23" s="33" t="s">
        <v>368</v>
      </c>
      <c r="B23" s="33" t="s">
        <v>371</v>
      </c>
      <c r="C23" s="33">
        <v>1</v>
      </c>
      <c r="D23" s="23">
        <f>SUM(C21:C23)</f>
        <v>3</v>
      </c>
    </row>
    <row r="24" spans="1:4">
      <c r="A24" s="32" t="s">
        <v>372</v>
      </c>
      <c r="B24" s="32" t="s">
        <v>373</v>
      </c>
      <c r="C24" s="32">
        <v>272</v>
      </c>
      <c r="D24" s="8">
        <f>SUM(C24)</f>
        <v>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0"/>
  <sheetViews>
    <sheetView zoomScaleNormal="100" zoomScaleSheetLayoutView="100" workbookViewId="0">
      <selection activeCell="O25" sqref="O25"/>
    </sheetView>
  </sheetViews>
  <sheetFormatPr baseColWidth="10" defaultColWidth="8.83203125" defaultRowHeight="13"/>
  <cols>
    <col min="1" max="12" width="14" customWidth="1"/>
  </cols>
  <sheetData>
    <row r="1" spans="1:12" ht="32" customHeight="1">
      <c r="A1" s="71" t="s">
        <v>374</v>
      </c>
      <c r="B1" s="72"/>
      <c r="C1" s="71"/>
      <c r="D1" s="71"/>
      <c r="E1" s="72"/>
      <c r="F1" s="71"/>
      <c r="G1" s="71"/>
      <c r="H1" s="72"/>
      <c r="I1" s="71"/>
      <c r="J1" s="71"/>
      <c r="K1" s="72"/>
      <c r="L1" s="71"/>
    </row>
    <row r="2" spans="1:12" ht="22" customHeight="1">
      <c r="A2" s="73" t="s">
        <v>375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 ht="15" customHeight="1">
      <c r="A4" s="66" t="s">
        <v>376</v>
      </c>
      <c r="B4" s="67"/>
      <c r="C4" s="37"/>
      <c r="D4" s="66" t="s">
        <v>377</v>
      </c>
      <c r="E4" s="67"/>
      <c r="F4" s="37"/>
      <c r="G4" s="66" t="s">
        <v>378</v>
      </c>
      <c r="H4" s="67"/>
      <c r="I4" s="37"/>
      <c r="J4" s="66" t="s">
        <v>379</v>
      </c>
      <c r="K4" s="67"/>
      <c r="L4" s="37"/>
    </row>
    <row r="5" spans="1:12" ht="15" customHeight="1">
      <c r="A5" s="68">
        <f>'Dados Dashboard'!B5</f>
        <v>11</v>
      </c>
      <c r="B5" s="69"/>
      <c r="C5" s="37"/>
      <c r="D5" s="68">
        <f>'Dados Dashboard'!B6</f>
        <v>13</v>
      </c>
      <c r="E5" s="69"/>
      <c r="F5" s="37"/>
      <c r="G5" s="68">
        <f>'Dados Dashboard'!B7</f>
        <v>6</v>
      </c>
      <c r="H5" s="69"/>
      <c r="I5" s="37"/>
      <c r="J5" s="68">
        <f>'Dados Dashboard'!B12</f>
        <v>275</v>
      </c>
      <c r="K5" s="69"/>
      <c r="L5" s="37"/>
    </row>
    <row r="6" spans="1:12" ht="15" customHeight="1">
      <c r="A6" s="70"/>
      <c r="B6" s="69"/>
      <c r="C6" s="37"/>
      <c r="D6" s="70"/>
      <c r="E6" s="69"/>
      <c r="F6" s="37"/>
      <c r="G6" s="70"/>
      <c r="H6" s="69"/>
      <c r="I6" s="37"/>
      <c r="J6" s="70"/>
      <c r="K6" s="69"/>
      <c r="L6" s="37"/>
    </row>
    <row r="7" spans="1:12">
      <c r="A7" s="37"/>
      <c r="B7" s="39"/>
      <c r="C7" s="37"/>
      <c r="D7" s="37"/>
      <c r="E7" s="39"/>
      <c r="F7" s="37"/>
      <c r="G7" s="37"/>
      <c r="H7" s="39"/>
      <c r="I7" s="37"/>
      <c r="J7" s="37"/>
      <c r="K7" s="39"/>
      <c r="L7" s="37"/>
    </row>
    <row r="8" spans="1:12" ht="12.75" customHeight="1">
      <c r="A8" s="66" t="s">
        <v>380</v>
      </c>
      <c r="B8" s="67"/>
      <c r="C8" s="37"/>
      <c r="D8" s="66" t="s">
        <v>381</v>
      </c>
      <c r="E8" s="67"/>
      <c r="F8" s="37"/>
      <c r="G8" s="66" t="s">
        <v>382</v>
      </c>
      <c r="H8" s="67"/>
      <c r="I8" s="37"/>
      <c r="J8" s="66" t="s">
        <v>383</v>
      </c>
      <c r="K8" s="67"/>
      <c r="L8" s="37"/>
    </row>
    <row r="9" spans="1:12" ht="12.75" customHeight="1">
      <c r="A9" s="68">
        <f>'Dados Dashboard'!B8</f>
        <v>254</v>
      </c>
      <c r="B9" s="69"/>
      <c r="C9" s="37"/>
      <c r="D9" s="68">
        <f>'Dados Dashboard'!B9</f>
        <v>2547</v>
      </c>
      <c r="E9" s="69"/>
      <c r="F9" s="37"/>
      <c r="G9" s="68">
        <f>'Dados Dashboard'!B10</f>
        <v>70364</v>
      </c>
      <c r="H9" s="69"/>
      <c r="I9" s="37"/>
      <c r="J9" s="68">
        <f>'Dados Dashboard'!B11</f>
        <v>5275</v>
      </c>
      <c r="K9" s="69"/>
      <c r="L9" s="37"/>
    </row>
    <row r="10" spans="1:12" ht="12.75" customHeight="1">
      <c r="A10" s="70"/>
      <c r="B10" s="69"/>
      <c r="C10" s="37"/>
      <c r="D10" s="70"/>
      <c r="E10" s="69"/>
      <c r="F10" s="37"/>
      <c r="G10" s="70"/>
      <c r="H10" s="69"/>
      <c r="I10" s="37"/>
      <c r="J10" s="70"/>
      <c r="K10" s="69"/>
      <c r="L10" s="37"/>
    </row>
    <row r="11" spans="1:12" ht="15" customHeight="1">
      <c r="A11" s="37"/>
      <c r="B11" s="39"/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 ht="15" customHeight="1">
      <c r="A12" s="37"/>
      <c r="B12" s="39"/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 ht="14">
      <c r="A13" s="36" t="s">
        <v>384</v>
      </c>
      <c r="B13" s="40" t="s">
        <v>158</v>
      </c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 t="str">
        <f>'Dados Dashboard'!D5</f>
        <v>Website posts</v>
      </c>
      <c r="B14" s="39">
        <f>'Dados Dashboard'!E5</f>
        <v>254</v>
      </c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>
      <c r="A15" s="37" t="str">
        <f>'Dados Dashboard'!D6</f>
        <v>Website ficheiros</v>
      </c>
      <c r="B15" s="39">
        <f>'Dados Dashboard'!E6</f>
        <v>2547</v>
      </c>
      <c r="C15" s="37"/>
      <c r="D15" s="37"/>
      <c r="E15" s="39"/>
      <c r="F15" s="37"/>
      <c r="G15" s="37"/>
      <c r="H15" s="39"/>
      <c r="I15" s="37"/>
      <c r="J15" s="37"/>
      <c r="K15" s="39"/>
      <c r="L15" s="37"/>
    </row>
    <row r="16" spans="1:12">
      <c r="A16" s="37" t="str">
        <f>'Dados Dashboard'!D7</f>
        <v>Biblioteca</v>
      </c>
      <c r="B16" s="39">
        <f>'Dados Dashboard'!E7</f>
        <v>70364</v>
      </c>
      <c r="C16" s="37"/>
      <c r="D16" s="37"/>
      <c r="E16" s="39"/>
      <c r="F16" s="37"/>
      <c r="G16" s="37"/>
      <c r="H16" s="39"/>
      <c r="I16" s="37"/>
      <c r="J16" s="37"/>
      <c r="K16" s="39"/>
      <c r="L16" s="37"/>
    </row>
    <row r="17" spans="1:12">
      <c r="A17" s="37" t="str">
        <f>'Dados Dashboard'!D8</f>
        <v>Arquivo</v>
      </c>
      <c r="B17" s="39">
        <f>'Dados Dashboard'!E8</f>
        <v>5275</v>
      </c>
      <c r="C17" s="37"/>
      <c r="D17" s="37"/>
      <c r="E17" s="39"/>
      <c r="F17" s="37"/>
      <c r="G17" s="37"/>
      <c r="H17" s="39"/>
      <c r="I17" s="37"/>
      <c r="J17" s="37"/>
      <c r="K17" s="39"/>
      <c r="L17" s="37"/>
    </row>
    <row r="18" spans="1:12">
      <c r="A18" s="37" t="str">
        <f>'Dados Dashboard'!D9</f>
        <v>Museu</v>
      </c>
      <c r="B18" s="39">
        <f>'Dados Dashboard'!E9</f>
        <v>275</v>
      </c>
      <c r="C18" s="37"/>
      <c r="D18" s="37"/>
      <c r="E18" s="39"/>
      <c r="F18" s="37"/>
      <c r="G18" s="37"/>
      <c r="H18" s="39"/>
      <c r="I18" s="37"/>
      <c r="J18" s="37"/>
      <c r="K18" s="39"/>
      <c r="L18" s="37"/>
    </row>
    <row r="19" spans="1:12">
      <c r="A19" s="37"/>
      <c r="B19" s="39"/>
      <c r="C19" s="37"/>
      <c r="D19" s="37"/>
      <c r="E19" s="39"/>
      <c r="F19" s="37"/>
      <c r="G19" s="37"/>
      <c r="H19" s="39"/>
      <c r="I19" s="37"/>
      <c r="J19" s="37"/>
      <c r="K19" s="39"/>
      <c r="L19" s="37"/>
    </row>
    <row r="20" spans="1:12">
      <c r="A20" s="37"/>
      <c r="B20" s="37"/>
      <c r="C20" s="37"/>
      <c r="D20" s="37"/>
      <c r="E20" s="39"/>
      <c r="F20" s="37"/>
      <c r="G20" s="37"/>
      <c r="H20" s="39"/>
      <c r="I20" s="37"/>
      <c r="J20" s="37"/>
      <c r="K20" s="39"/>
      <c r="L20" s="37"/>
    </row>
    <row r="21" spans="1:12">
      <c r="A21" s="37"/>
      <c r="B21" s="37"/>
      <c r="C21" s="37"/>
      <c r="D21" s="37"/>
      <c r="E21" s="39"/>
      <c r="F21" s="37"/>
      <c r="G21" s="37"/>
      <c r="H21" s="39"/>
      <c r="I21" s="37"/>
      <c r="J21" s="37"/>
      <c r="K21" s="39"/>
      <c r="L21" s="37"/>
    </row>
    <row r="22" spans="1:12">
      <c r="A22" s="37"/>
      <c r="B22" s="37"/>
      <c r="C22" s="37"/>
      <c r="D22" s="37"/>
      <c r="E22" s="39"/>
      <c r="F22" s="37"/>
      <c r="G22" s="37"/>
      <c r="H22" s="39"/>
      <c r="I22" s="37"/>
      <c r="J22" s="37"/>
      <c r="K22" s="39"/>
      <c r="L22" s="37"/>
    </row>
    <row r="23" spans="1:12">
      <c r="A23" s="37"/>
      <c r="B23" s="37"/>
      <c r="C23" s="37"/>
      <c r="D23" s="37"/>
      <c r="E23" s="39"/>
      <c r="F23" s="37"/>
      <c r="G23" s="37"/>
      <c r="H23" s="39"/>
      <c r="I23" s="37"/>
      <c r="J23" s="37"/>
      <c r="K23" s="39"/>
      <c r="L23" s="37"/>
    </row>
    <row r="24" spans="1:12">
      <c r="A24" s="37"/>
      <c r="B24" s="37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2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2">
      <c r="A26" s="37"/>
      <c r="B26" s="39"/>
      <c r="C26" s="37"/>
      <c r="D26" s="37"/>
      <c r="E26" s="39"/>
      <c r="F26" s="37"/>
      <c r="G26" s="37"/>
      <c r="H26" s="39"/>
      <c r="I26" s="37"/>
      <c r="J26" s="37"/>
      <c r="K26" s="39"/>
      <c r="L26" s="37"/>
    </row>
    <row r="27" spans="1:12">
      <c r="A27" s="37"/>
      <c r="B27" s="39"/>
      <c r="C27" s="37"/>
      <c r="D27" s="37"/>
      <c r="E27" s="39"/>
      <c r="F27" s="37"/>
      <c r="G27" s="37"/>
      <c r="H27" s="39"/>
      <c r="I27" s="37"/>
      <c r="J27" s="37"/>
      <c r="K27" s="39"/>
      <c r="L27" s="37"/>
    </row>
    <row r="28" spans="1:12">
      <c r="A28" s="37"/>
      <c r="B28" s="39"/>
      <c r="C28" s="37"/>
      <c r="D28" s="37"/>
      <c r="E28" s="39"/>
      <c r="F28" s="37"/>
      <c r="G28" s="37"/>
      <c r="H28" s="39"/>
      <c r="I28" s="37"/>
      <c r="J28" s="37"/>
      <c r="K28" s="39"/>
      <c r="L28" s="37"/>
    </row>
    <row r="29" spans="1:12">
      <c r="A29" s="37"/>
      <c r="B29" s="39"/>
      <c r="C29" s="37"/>
      <c r="D29" s="37"/>
      <c r="E29" s="39"/>
      <c r="F29" s="37"/>
      <c r="G29" s="37"/>
      <c r="H29" s="39"/>
      <c r="I29" s="37"/>
      <c r="J29" s="37"/>
      <c r="K29" s="39"/>
      <c r="L29" s="37"/>
    </row>
    <row r="30" spans="1:12">
      <c r="A30" s="37"/>
      <c r="B30" s="39"/>
      <c r="C30" s="37"/>
      <c r="D30" s="37"/>
      <c r="E30" s="39"/>
      <c r="F30" s="37"/>
      <c r="G30" s="37"/>
      <c r="H30" s="39"/>
      <c r="I30" s="37"/>
      <c r="J30" s="37"/>
      <c r="K30" s="39"/>
      <c r="L30" s="37"/>
    </row>
    <row r="31" spans="1:12">
      <c r="A31" s="37"/>
      <c r="B31" s="39"/>
      <c r="C31" s="37"/>
      <c r="D31" s="37"/>
      <c r="E31" s="39"/>
      <c r="F31" s="37"/>
      <c r="G31" s="37"/>
      <c r="H31" s="39"/>
      <c r="I31" s="37"/>
      <c r="J31" s="37"/>
      <c r="K31" s="39"/>
      <c r="L31" s="37"/>
    </row>
    <row r="32" spans="1:12">
      <c r="A32" s="37"/>
      <c r="B32" s="39"/>
      <c r="C32" s="37"/>
      <c r="D32" s="37"/>
      <c r="E32" s="39"/>
      <c r="F32" s="37"/>
      <c r="G32" s="37"/>
      <c r="H32" s="39"/>
      <c r="I32" s="37"/>
      <c r="J32" s="37"/>
      <c r="K32" s="39"/>
      <c r="L32" s="37"/>
    </row>
    <row r="33" spans="1:12">
      <c r="A33" s="37"/>
      <c r="B33" s="39"/>
      <c r="C33" s="37"/>
      <c r="D33" s="37"/>
      <c r="E33" s="39"/>
      <c r="F33" s="37"/>
      <c r="G33" s="37"/>
      <c r="H33" s="39"/>
      <c r="I33" s="37"/>
      <c r="J33" s="37"/>
      <c r="K33" s="39"/>
      <c r="L33" s="37"/>
    </row>
    <row r="34" spans="1:12">
      <c r="A34" s="37"/>
      <c r="B34" s="39"/>
      <c r="C34" s="37"/>
      <c r="D34" s="37"/>
      <c r="E34" s="39"/>
      <c r="F34" s="37"/>
      <c r="G34" s="37"/>
      <c r="H34" s="39"/>
      <c r="I34" s="37"/>
      <c r="J34" s="37"/>
      <c r="K34" s="39"/>
      <c r="L34" s="37"/>
    </row>
    <row r="35" spans="1:12">
      <c r="A35" s="37"/>
      <c r="B35" s="39"/>
      <c r="C35" s="37"/>
      <c r="D35" s="37"/>
      <c r="E35" s="39"/>
      <c r="F35" s="37"/>
      <c r="G35" s="37"/>
      <c r="H35" s="39"/>
      <c r="I35" s="37"/>
      <c r="J35" s="37"/>
      <c r="K35" s="39"/>
      <c r="L35" s="37"/>
    </row>
    <row r="36" spans="1:12">
      <c r="A36" s="37"/>
      <c r="B36" s="39"/>
      <c r="C36" s="37"/>
      <c r="D36" s="37"/>
      <c r="E36" s="39"/>
      <c r="F36" s="37"/>
      <c r="G36" s="37"/>
      <c r="H36" s="39"/>
      <c r="I36" s="37"/>
      <c r="J36" s="37"/>
      <c r="K36" s="39"/>
      <c r="L36" s="37"/>
    </row>
    <row r="37" spans="1:12">
      <c r="A37" s="37"/>
      <c r="B37" s="39"/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>
      <c r="A42" s="37"/>
      <c r="B42" s="39"/>
      <c r="C42" s="37"/>
      <c r="D42" s="37"/>
      <c r="E42" s="39"/>
      <c r="F42" s="37"/>
      <c r="G42" s="37"/>
      <c r="H42" s="39"/>
      <c r="I42" s="37"/>
      <c r="J42" s="37"/>
      <c r="K42" s="39"/>
      <c r="L42" s="37"/>
    </row>
    <row r="43" spans="1:12">
      <c r="A43" s="37"/>
      <c r="B43" s="39"/>
      <c r="C43" s="37"/>
      <c r="D43" s="37"/>
      <c r="E43" s="39"/>
      <c r="F43" s="37"/>
      <c r="G43" s="37"/>
      <c r="H43" s="39"/>
      <c r="I43" s="37"/>
      <c r="J43" s="37"/>
      <c r="K43" s="39"/>
      <c r="L43" s="37"/>
    </row>
    <row r="44" spans="1:12">
      <c r="A44" s="37"/>
      <c r="B44" s="39"/>
      <c r="C44" s="37"/>
      <c r="D44" s="37"/>
      <c r="E44" s="39"/>
      <c r="F44" s="37"/>
      <c r="G44" s="37"/>
      <c r="H44" s="39"/>
      <c r="I44" s="37"/>
      <c r="J44" s="37"/>
      <c r="K44" s="39"/>
      <c r="L44" s="37"/>
    </row>
    <row r="45" spans="1:12">
      <c r="A45" s="37"/>
      <c r="B45" s="39"/>
      <c r="C45" s="37"/>
      <c r="D45" s="37"/>
      <c r="E45" s="39"/>
      <c r="F45" s="37"/>
      <c r="G45" s="37"/>
      <c r="H45" s="39"/>
      <c r="I45" s="37"/>
      <c r="J45" s="37"/>
      <c r="K45" s="39"/>
      <c r="L45" s="37"/>
    </row>
    <row r="46" spans="1:12">
      <c r="A46" s="37"/>
      <c r="B46" s="39"/>
      <c r="C46" s="37"/>
      <c r="D46" s="37"/>
      <c r="E46" s="39"/>
      <c r="F46" s="37"/>
      <c r="G46" s="37"/>
      <c r="H46" s="39"/>
      <c r="I46" s="37"/>
      <c r="J46" s="37"/>
      <c r="K46" s="39"/>
      <c r="L46" s="37"/>
    </row>
    <row r="47" spans="1:12">
      <c r="A47" s="37"/>
      <c r="B47" s="39"/>
      <c r="C47" s="37"/>
      <c r="D47" s="37"/>
      <c r="E47" s="39"/>
      <c r="F47" s="37"/>
      <c r="G47" s="37"/>
      <c r="H47" s="39"/>
      <c r="I47" s="37"/>
      <c r="J47" s="37"/>
      <c r="K47" s="39"/>
      <c r="L47" s="37"/>
    </row>
    <row r="48" spans="1:12">
      <c r="A48" s="37"/>
      <c r="B48" s="39"/>
      <c r="C48" s="37"/>
      <c r="D48" s="37"/>
      <c r="E48" s="39"/>
      <c r="F48" s="37"/>
      <c r="G48" s="37"/>
      <c r="H48" s="39"/>
      <c r="I48" s="37"/>
      <c r="J48" s="37"/>
      <c r="K48" s="39"/>
      <c r="L48" s="37"/>
    </row>
    <row r="49" spans="1:12">
      <c r="A49" s="37"/>
      <c r="B49" s="39"/>
      <c r="C49" s="37"/>
      <c r="D49" s="37"/>
      <c r="E49" s="39"/>
      <c r="F49" s="37"/>
      <c r="G49" s="37"/>
      <c r="H49" s="39"/>
      <c r="I49" s="37"/>
      <c r="J49" s="37"/>
      <c r="K49" s="39"/>
      <c r="L49" s="37"/>
    </row>
    <row r="50" spans="1:12">
      <c r="A50" s="37"/>
      <c r="B50" s="39"/>
      <c r="C50" s="37"/>
      <c r="D50" s="37"/>
      <c r="E50" s="39"/>
      <c r="F50" s="37"/>
      <c r="G50" s="37"/>
      <c r="H50" s="39"/>
      <c r="I50" s="37"/>
      <c r="J50" s="37"/>
      <c r="K50" s="39"/>
      <c r="L50" s="37"/>
    </row>
    <row r="51" spans="1:12">
      <c r="A51" s="37"/>
      <c r="B51" s="39"/>
      <c r="C51" s="37"/>
      <c r="D51" s="37"/>
      <c r="E51" s="39"/>
      <c r="F51" s="37"/>
      <c r="G51" s="37"/>
      <c r="H51" s="39"/>
      <c r="I51" s="37"/>
      <c r="J51" s="37"/>
      <c r="K51" s="39"/>
      <c r="L51" s="37"/>
    </row>
    <row r="52" spans="1:12">
      <c r="A52" s="37"/>
      <c r="B52" s="39"/>
      <c r="C52" s="37"/>
      <c r="D52" s="37"/>
      <c r="E52" s="39"/>
      <c r="F52" s="37"/>
      <c r="G52" s="37"/>
      <c r="H52" s="39"/>
      <c r="I52" s="37"/>
      <c r="J52" s="37"/>
      <c r="K52" s="39"/>
      <c r="L52" s="37"/>
    </row>
    <row r="53" spans="1:12">
      <c r="A53" s="37"/>
      <c r="B53" s="39"/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2">
      <c r="A54" s="37"/>
      <c r="B54" s="39"/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2">
      <c r="A55" s="37"/>
      <c r="B55" s="39"/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2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2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2">
      <c r="A58" s="37"/>
      <c r="B58" s="39"/>
      <c r="C58" s="37"/>
      <c r="D58" s="37"/>
      <c r="E58" s="39"/>
      <c r="F58" s="37"/>
      <c r="G58" s="37"/>
      <c r="H58" s="39"/>
      <c r="I58" s="37"/>
      <c r="J58" s="37"/>
      <c r="K58" s="39"/>
      <c r="L58" s="37"/>
    </row>
    <row r="59" spans="1:12">
      <c r="A59" s="37"/>
      <c r="B59" s="39"/>
      <c r="C59" s="37"/>
      <c r="D59" s="37"/>
      <c r="E59" s="39"/>
      <c r="F59" s="37"/>
      <c r="G59" s="37"/>
      <c r="H59" s="39"/>
      <c r="I59" s="37"/>
      <c r="J59" s="37"/>
      <c r="K59" s="39"/>
      <c r="L59" s="37"/>
    </row>
    <row r="60" spans="1:12">
      <c r="A60" s="37"/>
      <c r="B60" s="39"/>
      <c r="C60" s="37"/>
      <c r="D60" s="37"/>
      <c r="E60" s="39"/>
      <c r="F60" s="37"/>
      <c r="G60" s="37"/>
      <c r="H60" s="39"/>
      <c r="I60" s="37"/>
      <c r="J60" s="37"/>
      <c r="K60" s="39"/>
      <c r="L60" s="37"/>
    </row>
    <row r="61" spans="1:12">
      <c r="A61" s="37"/>
      <c r="B61" s="39"/>
      <c r="C61" s="37"/>
      <c r="D61" s="37"/>
      <c r="E61" s="39"/>
      <c r="F61" s="37"/>
      <c r="G61" s="37"/>
      <c r="H61" s="39"/>
      <c r="I61" s="37"/>
      <c r="J61" s="37"/>
      <c r="K61" s="39"/>
      <c r="L61" s="37"/>
    </row>
    <row r="62" spans="1:12">
      <c r="A62" s="37"/>
      <c r="B62" s="39"/>
      <c r="C62" s="37"/>
      <c r="D62" s="37"/>
      <c r="E62" s="39"/>
      <c r="F62" s="37"/>
      <c r="G62" s="37"/>
      <c r="H62" s="39"/>
      <c r="I62" s="37"/>
      <c r="J62" s="37"/>
      <c r="K62" s="39"/>
      <c r="L62" s="37"/>
    </row>
    <row r="63" spans="1:12">
      <c r="A63" s="37"/>
      <c r="B63" s="39"/>
      <c r="C63" s="37"/>
      <c r="D63" s="37"/>
      <c r="E63" s="39"/>
      <c r="F63" s="37"/>
      <c r="G63" s="37"/>
      <c r="H63" s="39"/>
      <c r="I63" s="37"/>
      <c r="J63" s="37"/>
      <c r="K63" s="39"/>
      <c r="L63" s="37"/>
    </row>
    <row r="64" spans="1:12">
      <c r="A64" s="37"/>
      <c r="B64" s="39"/>
      <c r="C64" s="37"/>
      <c r="D64" s="37"/>
      <c r="E64" s="39"/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/>
      <c r="E65" s="39"/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18">
    <mergeCell ref="A1:L1"/>
    <mergeCell ref="A2:H2"/>
    <mergeCell ref="A4:B4"/>
    <mergeCell ref="A5:B6"/>
    <mergeCell ref="D4:E4"/>
    <mergeCell ref="D5:E6"/>
    <mergeCell ref="G4:H4"/>
    <mergeCell ref="G5:H6"/>
    <mergeCell ref="J4:K4"/>
    <mergeCell ref="J5:K6"/>
    <mergeCell ref="J8:K8"/>
    <mergeCell ref="J9:K10"/>
    <mergeCell ref="A8:B8"/>
    <mergeCell ref="A9:B10"/>
    <mergeCell ref="D8:E8"/>
    <mergeCell ref="D9:E10"/>
    <mergeCell ref="G8:H8"/>
    <mergeCell ref="G9:H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0"/>
  <sheetViews>
    <sheetView zoomScaleNormal="100" zoomScaleSheetLayoutView="100" workbookViewId="0">
      <selection activeCell="A5" sqref="A5:B6"/>
    </sheetView>
  </sheetViews>
  <sheetFormatPr baseColWidth="10" defaultColWidth="8.83203125" defaultRowHeight="13"/>
  <cols>
    <col min="1" max="12" width="14" customWidth="1"/>
  </cols>
  <sheetData>
    <row r="1" spans="1:12" ht="32" customHeight="1">
      <c r="A1" s="71" t="s">
        <v>385</v>
      </c>
      <c r="B1" s="72"/>
      <c r="C1" s="71"/>
      <c r="D1" s="71"/>
      <c r="E1" s="72"/>
      <c r="F1" s="71"/>
      <c r="G1" s="71"/>
      <c r="H1" s="72"/>
      <c r="I1" s="71"/>
      <c r="J1" s="71"/>
      <c r="K1" s="72"/>
      <c r="L1" s="71"/>
    </row>
    <row r="2" spans="1:12" ht="22" customHeight="1">
      <c r="A2" s="73" t="s">
        <v>386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>
      <c r="A4" s="66" t="s">
        <v>387</v>
      </c>
      <c r="B4" s="67"/>
      <c r="C4" s="37"/>
      <c r="D4" s="66" t="s">
        <v>388</v>
      </c>
      <c r="E4" s="67"/>
      <c r="F4" s="37"/>
      <c r="G4" s="66" t="s">
        <v>389</v>
      </c>
      <c r="H4" s="67"/>
      <c r="I4" s="37"/>
      <c r="J4" s="66" t="s">
        <v>390</v>
      </c>
      <c r="K4" s="67"/>
      <c r="L4" s="37"/>
    </row>
    <row r="5" spans="1:12">
      <c r="A5" s="68">
        <f>'Website Institucional'!B15</f>
        <v>254</v>
      </c>
      <c r="B5" s="69"/>
      <c r="C5" s="37"/>
      <c r="D5" s="68">
        <f>'Website Institucional'!E16</f>
        <v>2547</v>
      </c>
      <c r="E5" s="69"/>
      <c r="F5" s="37"/>
      <c r="G5" s="68">
        <f>'Website Institucional'!E9</f>
        <v>1908</v>
      </c>
      <c r="H5" s="69"/>
      <c r="I5" s="37"/>
      <c r="J5" s="68">
        <f>'Website Institucional'!H9</f>
        <v>245</v>
      </c>
      <c r="K5" s="69"/>
      <c r="L5" s="37"/>
    </row>
    <row r="6" spans="1:12">
      <c r="A6" s="70"/>
      <c r="B6" s="69"/>
      <c r="C6" s="37"/>
      <c r="D6" s="70"/>
      <c r="E6" s="69"/>
      <c r="F6" s="37"/>
      <c r="G6" s="70"/>
      <c r="H6" s="69"/>
      <c r="I6" s="37"/>
      <c r="J6" s="70"/>
      <c r="K6" s="69"/>
      <c r="L6" s="37"/>
    </row>
    <row r="7" spans="1:12">
      <c r="A7" s="37"/>
      <c r="B7" s="39"/>
      <c r="C7" s="37"/>
      <c r="D7" s="37"/>
      <c r="E7" s="39"/>
      <c r="F7" s="37"/>
      <c r="G7" s="37"/>
      <c r="H7" s="39"/>
      <c r="I7" s="37"/>
      <c r="J7" s="37"/>
      <c r="K7" s="39"/>
      <c r="L7" s="37"/>
    </row>
    <row r="8" spans="1:12">
      <c r="A8" s="37"/>
      <c r="B8" s="39"/>
      <c r="C8" s="37"/>
      <c r="D8" s="37"/>
      <c r="E8" s="39"/>
      <c r="F8" s="37"/>
      <c r="G8" s="37"/>
      <c r="H8" s="39"/>
      <c r="I8" s="37"/>
      <c r="J8" s="37"/>
      <c r="K8" s="39"/>
      <c r="L8" s="37"/>
    </row>
    <row r="9" spans="1:12" ht="14">
      <c r="A9" s="36" t="str">
        <f>'Dados Dashboard'!A15</f>
        <v>Ano</v>
      </c>
      <c r="B9" s="40" t="str">
        <f>'Dados Dashboard'!B15</f>
        <v>Posts</v>
      </c>
      <c r="C9" s="37"/>
      <c r="D9" s="37"/>
      <c r="E9" s="39"/>
      <c r="F9" s="37"/>
      <c r="G9" s="37"/>
      <c r="H9" s="39"/>
      <c r="I9" s="37"/>
      <c r="J9" s="37"/>
      <c r="K9" s="39"/>
      <c r="L9" s="37"/>
    </row>
    <row r="10" spans="1:12">
      <c r="A10" s="37">
        <f>'Dados Dashboard'!A16</f>
        <v>2021</v>
      </c>
      <c r="B10" s="39">
        <f>'Dados Dashboard'!B16</f>
        <v>1</v>
      </c>
      <c r="C10" s="37"/>
      <c r="D10" s="37"/>
      <c r="E10" s="39"/>
      <c r="F10" s="37"/>
      <c r="G10" s="37"/>
      <c r="H10" s="39"/>
      <c r="I10" s="37"/>
      <c r="J10" s="37"/>
      <c r="K10" s="39"/>
      <c r="L10" s="37"/>
    </row>
    <row r="11" spans="1:12">
      <c r="A11" s="37">
        <f>'Dados Dashboard'!A17</f>
        <v>2022</v>
      </c>
      <c r="B11" s="39">
        <f>'Dados Dashboard'!B17</f>
        <v>5</v>
      </c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>
      <c r="A12" s="37">
        <f>'Dados Dashboard'!A18</f>
        <v>2023</v>
      </c>
      <c r="B12" s="39">
        <f>'Dados Dashboard'!B18</f>
        <v>81</v>
      </c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>
      <c r="A13" s="37">
        <f>'Dados Dashboard'!A19</f>
        <v>2024</v>
      </c>
      <c r="B13" s="39">
        <f>'Dados Dashboard'!B19</f>
        <v>79</v>
      </c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>
        <f>'Dados Dashboard'!A20</f>
        <v>2025</v>
      </c>
      <c r="B14" s="39">
        <f>'Dados Dashboard'!B20</f>
        <v>83</v>
      </c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>
      <c r="A15" s="37">
        <f>'Dados Dashboard'!A21</f>
        <v>2026</v>
      </c>
      <c r="B15" s="39">
        <f>'Dados Dashboard'!B21</f>
        <v>5</v>
      </c>
      <c r="C15" s="37"/>
      <c r="D15" s="37"/>
      <c r="E15" s="39"/>
      <c r="F15" s="37"/>
      <c r="G15" s="37"/>
      <c r="H15" s="39"/>
      <c r="I15" s="37"/>
      <c r="J15" s="37"/>
      <c r="K15" s="39"/>
      <c r="L15" s="37"/>
    </row>
    <row r="16" spans="1:12">
      <c r="A16" s="37"/>
      <c r="B16" s="39"/>
      <c r="C16" s="37"/>
      <c r="D16" s="37"/>
      <c r="E16" s="39"/>
      <c r="F16" s="37"/>
      <c r="G16" s="37"/>
      <c r="H16" s="39"/>
      <c r="I16" s="37"/>
      <c r="J16" s="37"/>
      <c r="K16" s="39"/>
      <c r="L16" s="37"/>
    </row>
    <row r="17" spans="1:12">
      <c r="A17" s="37"/>
      <c r="B17" s="39"/>
      <c r="C17" s="37"/>
      <c r="D17" s="37"/>
      <c r="E17" s="39"/>
      <c r="F17" s="37"/>
      <c r="G17" s="37"/>
      <c r="H17" s="39"/>
      <c r="I17" s="37"/>
      <c r="J17" s="37"/>
      <c r="K17" s="39"/>
      <c r="L17" s="37"/>
    </row>
    <row r="18" spans="1:12">
      <c r="A18" s="37"/>
      <c r="B18" s="39"/>
      <c r="C18" s="37"/>
      <c r="D18" s="37"/>
      <c r="E18" s="39"/>
      <c r="F18" s="37"/>
      <c r="G18" s="37"/>
      <c r="H18" s="39"/>
      <c r="I18" s="37"/>
      <c r="J18" s="37"/>
      <c r="K18" s="39"/>
      <c r="L18" s="37"/>
    </row>
    <row r="19" spans="1:12">
      <c r="A19" s="37"/>
      <c r="B19" s="39"/>
      <c r="C19" s="37"/>
      <c r="D19" s="37"/>
      <c r="E19" s="39"/>
      <c r="F19" s="37"/>
      <c r="G19" s="37"/>
      <c r="H19" s="39"/>
      <c r="I19" s="37"/>
      <c r="J19" s="37"/>
      <c r="K19" s="39"/>
      <c r="L19" s="37"/>
    </row>
    <row r="20" spans="1:12">
      <c r="A20" s="37"/>
      <c r="B20" s="39"/>
      <c r="C20" s="37"/>
      <c r="D20" s="37"/>
      <c r="E20" s="39"/>
      <c r="F20" s="37"/>
      <c r="G20" s="37"/>
      <c r="H20" s="39"/>
      <c r="I20" s="37"/>
      <c r="J20" s="37"/>
      <c r="K20" s="39"/>
      <c r="L20" s="37"/>
    </row>
    <row r="21" spans="1:12">
      <c r="A21" s="37"/>
      <c r="B21" s="39"/>
      <c r="C21" s="37"/>
      <c r="D21" s="37"/>
      <c r="E21" s="39"/>
      <c r="F21" s="37"/>
      <c r="G21" s="37"/>
      <c r="H21" s="39"/>
      <c r="I21" s="37"/>
      <c r="J21" s="37"/>
      <c r="K21" s="39"/>
      <c r="L21" s="37"/>
    </row>
    <row r="22" spans="1:12">
      <c r="A22" s="37"/>
      <c r="B22" s="39"/>
      <c r="C22" s="37"/>
      <c r="D22" s="37"/>
      <c r="E22" s="39"/>
      <c r="F22" s="37"/>
      <c r="G22" s="37"/>
      <c r="H22" s="39"/>
      <c r="I22" s="37"/>
      <c r="J22" s="37"/>
      <c r="K22" s="39"/>
      <c r="L22" s="37"/>
    </row>
    <row r="23" spans="1:12">
      <c r="A23" s="37"/>
      <c r="B23" s="39"/>
      <c r="C23" s="37"/>
      <c r="D23" s="37"/>
      <c r="E23" s="39"/>
      <c r="F23" s="37"/>
      <c r="G23" s="37"/>
      <c r="H23" s="39"/>
      <c r="I23" s="37"/>
      <c r="J23" s="37"/>
      <c r="K23" s="39"/>
      <c r="L23" s="37"/>
    </row>
    <row r="24" spans="1:12">
      <c r="A24" s="37"/>
      <c r="B24" s="39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2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2">
      <c r="A26" s="37"/>
      <c r="B26" s="39"/>
      <c r="C26" s="37"/>
      <c r="D26" s="37"/>
      <c r="E26" s="39"/>
      <c r="F26" s="37"/>
      <c r="G26" s="37"/>
      <c r="H26" s="39"/>
      <c r="I26" s="37"/>
      <c r="J26" s="37"/>
      <c r="K26" s="39"/>
      <c r="L26" s="37"/>
    </row>
    <row r="27" spans="1:12" ht="14">
      <c r="A27" s="36" t="str">
        <f>'Dados Dashboard'!D15</f>
        <v>Tipo de ficheiro</v>
      </c>
      <c r="B27" s="40" t="str">
        <f>'Dados Dashboard'!E15</f>
        <v>Quantidade</v>
      </c>
      <c r="C27" s="37"/>
      <c r="D27" s="37"/>
      <c r="E27" s="39"/>
      <c r="F27" s="37"/>
      <c r="G27" s="37"/>
      <c r="H27" s="39"/>
      <c r="I27" s="37"/>
      <c r="J27" s="37"/>
      <c r="K27" s="39"/>
      <c r="L27" s="37"/>
    </row>
    <row r="28" spans="1:12">
      <c r="A28" s="37" t="str">
        <f>'Dados Dashboard'!D16</f>
        <v>Image</v>
      </c>
      <c r="B28" s="39">
        <f>'Dados Dashboard'!E16</f>
        <v>1908</v>
      </c>
      <c r="C28" s="37"/>
      <c r="D28" s="37"/>
      <c r="E28" s="39"/>
      <c r="F28" s="37"/>
      <c r="G28" s="37"/>
      <c r="H28" s="39"/>
      <c r="I28" s="37"/>
      <c r="J28" s="37"/>
      <c r="K28" s="39"/>
      <c r="L28" s="37"/>
    </row>
    <row r="29" spans="1:12">
      <c r="A29" s="37" t="str">
        <f>'Dados Dashboard'!D17</f>
        <v>PDF</v>
      </c>
      <c r="B29" s="39">
        <f>'Dados Dashboard'!E17</f>
        <v>627</v>
      </c>
      <c r="C29" s="37"/>
      <c r="D29" s="37"/>
      <c r="E29" s="39"/>
      <c r="F29" s="37"/>
      <c r="G29" s="37"/>
      <c r="H29" s="39"/>
      <c r="I29" s="37"/>
      <c r="J29" s="37"/>
      <c r="K29" s="39"/>
      <c r="L29" s="37"/>
    </row>
    <row r="30" spans="1:12">
      <c r="A30" s="37" t="str">
        <f>'Dados Dashboard'!D18</f>
        <v>x-font-woff</v>
      </c>
      <c r="B30" s="39">
        <f>'Dados Dashboard'!E18</f>
        <v>5</v>
      </c>
      <c r="C30" s="37"/>
      <c r="D30" s="37"/>
      <c r="E30" s="39"/>
      <c r="F30" s="37"/>
      <c r="G30" s="37"/>
      <c r="H30" s="39"/>
      <c r="I30" s="37"/>
      <c r="J30" s="37"/>
      <c r="K30" s="39"/>
      <c r="L30" s="37"/>
    </row>
    <row r="31" spans="1:12">
      <c r="A31" s="37" t="str">
        <f>'Dados Dashboard'!D19</f>
        <v>DOC/WORD</v>
      </c>
      <c r="B31" s="39">
        <f>'Dados Dashboard'!E19</f>
        <v>4</v>
      </c>
      <c r="C31" s="37"/>
      <c r="D31" s="37"/>
      <c r="E31" s="39"/>
      <c r="F31" s="37"/>
      <c r="G31" s="37"/>
      <c r="H31" s="39"/>
      <c r="I31" s="37"/>
      <c r="J31" s="37"/>
      <c r="K31" s="39"/>
      <c r="L31" s="37"/>
    </row>
    <row r="32" spans="1:12">
      <c r="A32" s="37" t="str">
        <f>'Dados Dashboard'!D20</f>
        <v>zip</v>
      </c>
      <c r="B32" s="39">
        <f>'Dados Dashboard'!E20</f>
        <v>1</v>
      </c>
      <c r="C32" s="37"/>
      <c r="D32" s="37"/>
      <c r="E32" s="39"/>
      <c r="F32" s="37"/>
      <c r="G32" s="37"/>
      <c r="H32" s="39"/>
      <c r="I32" s="37"/>
      <c r="J32" s="37"/>
      <c r="K32" s="39"/>
      <c r="L32" s="37"/>
    </row>
    <row r="33" spans="1:12">
      <c r="A33" s="37" t="str">
        <f>'Dados Dashboard'!D21</f>
        <v>Video</v>
      </c>
      <c r="B33" s="39">
        <f>'Dados Dashboard'!E21</f>
        <v>1</v>
      </c>
      <c r="C33" s="37"/>
      <c r="D33" s="37"/>
      <c r="E33" s="39"/>
      <c r="F33" s="37"/>
      <c r="G33" s="37"/>
      <c r="H33" s="39"/>
      <c r="I33" s="37"/>
      <c r="J33" s="37"/>
      <c r="K33" s="39"/>
      <c r="L33" s="37"/>
    </row>
    <row r="34" spans="1:12">
      <c r="A34" s="37" t="str">
        <f>'Dados Dashboard'!D22</f>
        <v>csv</v>
      </c>
      <c r="B34" s="39">
        <f>'Dados Dashboard'!E22</f>
        <v>1</v>
      </c>
      <c r="C34" s="37"/>
      <c r="D34" s="37"/>
      <c r="E34" s="39"/>
      <c r="F34" s="37"/>
      <c r="G34" s="37"/>
      <c r="H34" s="39"/>
      <c r="I34" s="37"/>
      <c r="J34" s="37"/>
      <c r="K34" s="39"/>
      <c r="L34" s="37"/>
    </row>
    <row r="35" spans="1:12">
      <c r="A35" s="37"/>
      <c r="B35" s="39"/>
      <c r="C35" s="37"/>
      <c r="D35" s="37"/>
      <c r="E35" s="39"/>
      <c r="F35" s="37"/>
      <c r="G35" s="37"/>
      <c r="H35" s="39"/>
      <c r="I35" s="37"/>
      <c r="J35" s="37"/>
      <c r="K35" s="39"/>
      <c r="L35" s="37"/>
    </row>
    <row r="36" spans="1:12">
      <c r="A36" s="37"/>
      <c r="B36" s="39"/>
      <c r="C36" s="37"/>
      <c r="D36" s="37"/>
      <c r="E36" s="39"/>
      <c r="F36" s="37"/>
      <c r="G36" s="37"/>
      <c r="H36" s="39"/>
      <c r="I36" s="37"/>
      <c r="J36" s="37"/>
      <c r="K36" s="39"/>
      <c r="L36" s="37"/>
    </row>
    <row r="37" spans="1:12">
      <c r="A37" s="37"/>
      <c r="B37" s="39"/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>
      <c r="A42" s="37"/>
      <c r="B42" s="39"/>
      <c r="C42" s="37"/>
      <c r="D42" s="37"/>
      <c r="E42" s="39"/>
      <c r="F42" s="37"/>
      <c r="G42" s="37"/>
      <c r="H42" s="39"/>
      <c r="I42" s="37"/>
      <c r="J42" s="37"/>
      <c r="K42" s="39"/>
      <c r="L42" s="37"/>
    </row>
    <row r="43" spans="1:12">
      <c r="A43" s="37"/>
      <c r="B43" s="39"/>
      <c r="C43" s="37"/>
      <c r="D43" s="37"/>
      <c r="E43" s="39"/>
      <c r="F43" s="37"/>
      <c r="G43" s="37"/>
      <c r="H43" s="39"/>
      <c r="I43" s="37"/>
      <c r="J43" s="37"/>
      <c r="K43" s="39"/>
      <c r="L43" s="37"/>
    </row>
    <row r="44" spans="1:12">
      <c r="A44" s="37"/>
      <c r="B44" s="39"/>
      <c r="C44" s="37"/>
      <c r="D44" s="37"/>
      <c r="E44" s="39"/>
      <c r="F44" s="37"/>
      <c r="G44" s="37"/>
      <c r="H44" s="39"/>
      <c r="I44" s="37"/>
      <c r="J44" s="37"/>
      <c r="K44" s="39"/>
      <c r="L44" s="37"/>
    </row>
    <row r="45" spans="1:12" ht="14">
      <c r="A45" s="36" t="str">
        <f>'Dados Dashboard'!G15</f>
        <v>Categoria</v>
      </c>
      <c r="B45" s="40" t="str">
        <f>'Dados Dashboard'!H15</f>
        <v>Posts</v>
      </c>
      <c r="C45" s="37"/>
      <c r="D45" s="37"/>
      <c r="E45" s="39"/>
      <c r="F45" s="37"/>
      <c r="G45" s="37"/>
      <c r="H45" s="39"/>
      <c r="I45" s="37"/>
      <c r="J45" s="37"/>
      <c r="K45" s="39"/>
      <c r="L45" s="37"/>
    </row>
    <row r="46" spans="1:12">
      <c r="A46" s="37" t="str">
        <f>'Dados Dashboard'!G16</f>
        <v>NOTÍCIAS</v>
      </c>
      <c r="B46" s="39">
        <f>'Dados Dashboard'!H16</f>
        <v>245</v>
      </c>
      <c r="C46" s="37"/>
      <c r="D46" s="37"/>
      <c r="E46" s="39"/>
      <c r="F46" s="37"/>
      <c r="G46" s="37"/>
      <c r="H46" s="39"/>
      <c r="I46" s="37"/>
      <c r="J46" s="37"/>
      <c r="K46" s="39"/>
      <c r="L46" s="37"/>
    </row>
    <row r="47" spans="1:12">
      <c r="A47" s="37" t="str">
        <f>'Dados Dashboard'!G17</f>
        <v>PRÉMIOS</v>
      </c>
      <c r="B47" s="39">
        <f>'Dados Dashboard'!H17</f>
        <v>5</v>
      </c>
      <c r="C47" s="37"/>
      <c r="D47" s="37"/>
      <c r="E47" s="39"/>
      <c r="F47" s="37"/>
      <c r="G47" s="37"/>
      <c r="H47" s="39"/>
      <c r="I47" s="37"/>
      <c r="J47" s="37"/>
      <c r="K47" s="39"/>
      <c r="L47" s="37"/>
    </row>
    <row r="48" spans="1:12">
      <c r="A48" s="37" t="str">
        <f>'Dados Dashboard'!G18</f>
        <v>OUTROS EVENTOS</v>
      </c>
      <c r="B48" s="39">
        <f>'Dados Dashboard'!H18</f>
        <v>4</v>
      </c>
      <c r="C48" s="37"/>
      <c r="D48" s="37"/>
      <c r="E48" s="39"/>
      <c r="F48" s="37"/>
      <c r="G48" s="37"/>
      <c r="H48" s="39"/>
      <c r="I48" s="37"/>
      <c r="J48" s="37"/>
      <c r="K48" s="39"/>
      <c r="L48" s="37"/>
    </row>
    <row r="49" spans="1:12">
      <c r="A49" s="37" t="str">
        <f>'Dados Dashboard'!G19</f>
        <v>CONFERÊNCIAS</v>
      </c>
      <c r="B49" s="39">
        <f>'Dados Dashboard'!H19</f>
        <v>3</v>
      </c>
      <c r="C49" s="37"/>
      <c r="D49" s="37"/>
      <c r="E49" s="39"/>
      <c r="F49" s="37"/>
      <c r="G49" s="37"/>
      <c r="H49" s="39"/>
      <c r="I49" s="37"/>
      <c r="J49" s="37"/>
      <c r="K49" s="39"/>
      <c r="L49" s="37"/>
    </row>
    <row r="50" spans="1:12">
      <c r="A50" s="37" t="str">
        <f>'Dados Dashboard'!G20</f>
        <v>Recrutamento</v>
      </c>
      <c r="B50" s="39">
        <f>'Dados Dashboard'!H20</f>
        <v>3</v>
      </c>
      <c r="C50" s="37"/>
      <c r="D50" s="37"/>
      <c r="E50" s="39"/>
      <c r="F50" s="37"/>
      <c r="G50" s="37"/>
      <c r="H50" s="39"/>
      <c r="I50" s="37"/>
      <c r="J50" s="37"/>
      <c r="K50" s="39"/>
      <c r="L50" s="37"/>
    </row>
    <row r="51" spans="1:12">
      <c r="A51" s="37" t="str">
        <f>'Dados Dashboard'!G21</f>
        <v>Documento</v>
      </c>
      <c r="B51" s="39">
        <f>'Dados Dashboard'!H21</f>
        <v>2</v>
      </c>
      <c r="C51" s="37"/>
      <c r="D51" s="37"/>
      <c r="E51" s="39"/>
      <c r="F51" s="37"/>
      <c r="G51" s="37"/>
      <c r="H51" s="39"/>
      <c r="I51" s="37"/>
      <c r="J51" s="37"/>
      <c r="K51" s="39"/>
      <c r="L51" s="37"/>
    </row>
    <row r="52" spans="1:12">
      <c r="A52" s="37" t="str">
        <f>'Dados Dashboard'!G22</f>
        <v>SESSÕES ACADÉMICAS</v>
      </c>
      <c r="B52" s="39">
        <f>'Dados Dashboard'!H22</f>
        <v>0</v>
      </c>
      <c r="C52" s="37"/>
      <c r="D52" s="37"/>
      <c r="E52" s="39"/>
      <c r="F52" s="37"/>
      <c r="G52" s="37"/>
      <c r="H52" s="39"/>
      <c r="I52" s="37"/>
      <c r="J52" s="37"/>
      <c r="K52" s="39"/>
      <c r="L52" s="37"/>
    </row>
    <row r="53" spans="1:12">
      <c r="A53" s="37" t="str">
        <f>'Dados Dashboard'!G23</f>
        <v>TODOS OS EVENTOS</v>
      </c>
      <c r="B53" s="39">
        <f>'Dados Dashboard'!H23</f>
        <v>0</v>
      </c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2">
      <c r="A54" s="37"/>
      <c r="B54" s="39"/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2">
      <c r="A55" s="37"/>
      <c r="B55" s="39"/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2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2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2">
      <c r="A58" s="37"/>
      <c r="B58" s="39"/>
      <c r="C58" s="37"/>
      <c r="D58" s="37"/>
      <c r="E58" s="39"/>
      <c r="F58" s="37"/>
      <c r="G58" s="37"/>
      <c r="H58" s="39"/>
      <c r="I58" s="37"/>
      <c r="J58" s="37"/>
      <c r="K58" s="39"/>
      <c r="L58" s="37"/>
    </row>
    <row r="59" spans="1:12">
      <c r="A59" s="37"/>
      <c r="B59" s="39"/>
      <c r="C59" s="37"/>
      <c r="D59" s="37"/>
      <c r="E59" s="39"/>
      <c r="F59" s="37"/>
      <c r="G59" s="37"/>
      <c r="H59" s="39"/>
      <c r="I59" s="37"/>
      <c r="J59" s="37"/>
      <c r="K59" s="39"/>
      <c r="L59" s="37"/>
    </row>
    <row r="60" spans="1:12">
      <c r="A60" s="37"/>
      <c r="B60" s="39"/>
      <c r="C60" s="37"/>
      <c r="D60" s="37"/>
      <c r="E60" s="39"/>
      <c r="F60" s="37"/>
      <c r="G60" s="37"/>
      <c r="H60" s="39"/>
      <c r="I60" s="37"/>
      <c r="J60" s="37"/>
      <c r="K60" s="39"/>
      <c r="L60" s="37"/>
    </row>
    <row r="61" spans="1:12">
      <c r="A61" s="37"/>
      <c r="B61" s="39"/>
      <c r="C61" s="37"/>
      <c r="D61" s="37"/>
      <c r="E61" s="39"/>
      <c r="F61" s="37"/>
      <c r="G61" s="37"/>
      <c r="H61" s="39"/>
      <c r="I61" s="37"/>
      <c r="J61" s="37"/>
      <c r="K61" s="39"/>
      <c r="L61" s="37"/>
    </row>
    <row r="62" spans="1:12">
      <c r="A62" s="37"/>
      <c r="B62" s="39"/>
      <c r="C62" s="37"/>
      <c r="D62" s="37"/>
      <c r="E62" s="39"/>
      <c r="F62" s="37"/>
      <c r="G62" s="37"/>
      <c r="H62" s="39"/>
      <c r="I62" s="37"/>
      <c r="J62" s="37"/>
      <c r="K62" s="39"/>
      <c r="L62" s="37"/>
    </row>
    <row r="63" spans="1:12">
      <c r="A63" s="37"/>
      <c r="B63" s="39"/>
      <c r="C63" s="37"/>
      <c r="D63" s="37"/>
      <c r="E63" s="39"/>
      <c r="F63" s="37"/>
      <c r="G63" s="37"/>
      <c r="H63" s="39"/>
      <c r="I63" s="37"/>
      <c r="J63" s="37"/>
      <c r="K63" s="39"/>
      <c r="L63" s="37"/>
    </row>
    <row r="64" spans="1:12">
      <c r="A64" s="37"/>
      <c r="B64" s="39"/>
      <c r="C64" s="37"/>
      <c r="D64" s="37"/>
      <c r="E64" s="39"/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/>
      <c r="E65" s="39"/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10">
    <mergeCell ref="A1:L1"/>
    <mergeCell ref="A2:H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0"/>
  <sheetViews>
    <sheetView zoomScaleNormal="100" zoomScaleSheetLayoutView="100" workbookViewId="0"/>
  </sheetViews>
  <sheetFormatPr baseColWidth="10" defaultColWidth="8.83203125" defaultRowHeight="13"/>
  <cols>
    <col min="1" max="12" width="15" customWidth="1"/>
  </cols>
  <sheetData>
    <row r="1" spans="1:12" ht="32" customHeight="1">
      <c r="A1" s="71" t="s">
        <v>391</v>
      </c>
      <c r="B1" s="72"/>
      <c r="C1" s="71"/>
      <c r="D1" s="71"/>
      <c r="E1" s="72"/>
      <c r="F1" s="71"/>
      <c r="G1" s="71"/>
      <c r="H1" s="72"/>
      <c r="I1" s="71"/>
      <c r="J1" s="71"/>
      <c r="K1" s="72"/>
      <c r="L1" s="71"/>
    </row>
    <row r="2" spans="1:12" ht="22" customHeight="1">
      <c r="A2" s="73" t="s">
        <v>392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>
      <c r="A4" s="66" t="s">
        <v>393</v>
      </c>
      <c r="B4" s="67"/>
      <c r="C4" s="37"/>
      <c r="D4" s="66" t="s">
        <v>161</v>
      </c>
      <c r="E4" s="67"/>
      <c r="F4" s="37"/>
      <c r="G4" s="66" t="s">
        <v>168</v>
      </c>
      <c r="H4" s="67"/>
      <c r="I4" s="37"/>
      <c r="J4" s="66" t="s">
        <v>270</v>
      </c>
      <c r="K4" s="67"/>
      <c r="L4" s="37"/>
    </row>
    <row r="5" spans="1:12">
      <c r="A5" s="68">
        <f>Biblioteca!D6</f>
        <v>70364</v>
      </c>
      <c r="B5" s="69"/>
      <c r="C5" s="37"/>
      <c r="D5" s="68">
        <f>Biblioteca!C8</f>
        <v>38728</v>
      </c>
      <c r="E5" s="69"/>
      <c r="F5" s="37"/>
      <c r="G5" s="68">
        <f>Biblioteca!C14</f>
        <v>60754</v>
      </c>
      <c r="H5" s="69"/>
      <c r="I5" s="37"/>
      <c r="J5" s="68">
        <f>Biblioteca!C126</f>
        <v>45783</v>
      </c>
      <c r="K5" s="69"/>
      <c r="L5" s="37"/>
    </row>
    <row r="6" spans="1:12">
      <c r="A6" s="70"/>
      <c r="B6" s="69"/>
      <c r="C6" s="37"/>
      <c r="D6" s="70"/>
      <c r="E6" s="69"/>
      <c r="F6" s="37"/>
      <c r="G6" s="70"/>
      <c r="H6" s="69"/>
      <c r="I6" s="37"/>
      <c r="J6" s="70"/>
      <c r="K6" s="69"/>
      <c r="L6" s="37"/>
    </row>
    <row r="7" spans="1:12">
      <c r="A7" s="37"/>
      <c r="B7" s="39"/>
      <c r="C7" s="37"/>
      <c r="D7" s="37"/>
      <c r="E7" s="39"/>
      <c r="F7" s="37"/>
      <c r="G7" s="37"/>
      <c r="H7" s="39"/>
      <c r="I7" s="37"/>
      <c r="J7" s="37"/>
      <c r="K7" s="39"/>
      <c r="L7" s="37"/>
    </row>
    <row r="8" spans="1:12">
      <c r="A8" s="37"/>
      <c r="B8" s="39"/>
      <c r="C8" s="37"/>
      <c r="D8" s="37"/>
      <c r="E8" s="39"/>
      <c r="F8" s="37"/>
      <c r="G8" s="37"/>
      <c r="H8" s="39"/>
      <c r="I8" s="37"/>
      <c r="J8" s="37"/>
      <c r="K8" s="39"/>
      <c r="L8" s="37"/>
    </row>
    <row r="9" spans="1:12" ht="14">
      <c r="A9" s="36" t="str">
        <f>'Dados Dashboard'!A26</f>
        <v>Filtro</v>
      </c>
      <c r="B9" s="40" t="str">
        <f>'Dados Dashboard'!B26</f>
        <v>Quantidade</v>
      </c>
      <c r="C9" s="37"/>
      <c r="D9" s="37"/>
      <c r="E9" s="39"/>
      <c r="F9" s="37"/>
      <c r="G9" s="37"/>
      <c r="H9" s="39"/>
      <c r="I9" s="37"/>
      <c r="J9" s="37"/>
      <c r="K9" s="39"/>
      <c r="L9" s="37"/>
    </row>
    <row r="10" spans="1:12">
      <c r="A10" s="37" t="str">
        <f>'Dados Dashboard'!A27</f>
        <v>Monografias</v>
      </c>
      <c r="B10" s="39">
        <f>'Dados Dashboard'!B27</f>
        <v>38728</v>
      </c>
      <c r="C10" s="37"/>
      <c r="D10" s="37"/>
      <c r="E10" s="39"/>
      <c r="F10" s="37"/>
      <c r="G10" s="37"/>
      <c r="H10" s="39"/>
      <c r="I10" s="37"/>
      <c r="J10" s="37"/>
      <c r="K10" s="39"/>
      <c r="L10" s="37"/>
    </row>
    <row r="11" spans="1:12">
      <c r="A11" s="37" t="str">
        <f>'Dados Dashboard'!A28</f>
        <v>Livro Antigo</v>
      </c>
      <c r="B11" s="39">
        <f>'Dados Dashboard'!B28</f>
        <v>26213</v>
      </c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>
      <c r="A12" s="37" t="str">
        <f>'Dados Dashboard'!A29</f>
        <v>Manuscritos</v>
      </c>
      <c r="B12" s="39">
        <f>'Dados Dashboard'!B29</f>
        <v>4503</v>
      </c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>
      <c r="A13" s="37" t="str">
        <f>'Dados Dashboard'!A30</f>
        <v>Iconografia</v>
      </c>
      <c r="B13" s="39">
        <f>'Dados Dashboard'!B30</f>
        <v>813</v>
      </c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 t="str">
        <f>'Dados Dashboard'!A31</f>
        <v>Periódicos</v>
      </c>
      <c r="B14" s="39">
        <f>'Dados Dashboard'!B31</f>
        <v>111</v>
      </c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>
      <c r="A15" s="37" t="str">
        <f>'Dados Dashboard'!A32</f>
        <v>Arquivo</v>
      </c>
      <c r="B15" s="39">
        <f>'Dados Dashboard'!B32</f>
        <v>3</v>
      </c>
      <c r="C15" s="37"/>
      <c r="D15" s="37"/>
      <c r="E15" s="39"/>
      <c r="F15" s="37"/>
      <c r="G15" s="37"/>
      <c r="H15" s="39"/>
      <c r="I15" s="37"/>
      <c r="J15" s="37"/>
      <c r="K15" s="39"/>
      <c r="L15" s="37"/>
    </row>
    <row r="16" spans="1:12">
      <c r="A16" s="37"/>
      <c r="B16" s="39"/>
      <c r="C16" s="37"/>
      <c r="D16" s="37"/>
      <c r="E16" s="39"/>
      <c r="F16" s="37"/>
      <c r="G16" s="37"/>
      <c r="H16" s="39"/>
      <c r="I16" s="37"/>
      <c r="J16" s="37"/>
      <c r="K16" s="39"/>
      <c r="L16" s="37"/>
    </row>
    <row r="17" spans="1:12">
      <c r="A17" s="37"/>
      <c r="B17" s="39"/>
      <c r="C17" s="37"/>
      <c r="D17" s="37"/>
      <c r="E17" s="39"/>
      <c r="F17" s="37"/>
      <c r="G17" s="37"/>
      <c r="H17" s="39"/>
      <c r="I17" s="37"/>
      <c r="J17" s="37"/>
      <c r="K17" s="39"/>
      <c r="L17" s="37"/>
    </row>
    <row r="18" spans="1:12">
      <c r="A18" s="37"/>
      <c r="B18" s="39"/>
      <c r="C18" s="37"/>
      <c r="D18" s="37"/>
      <c r="E18" s="39"/>
      <c r="F18" s="37"/>
      <c r="G18" s="37"/>
      <c r="H18" s="39"/>
      <c r="I18" s="37"/>
      <c r="J18" s="37"/>
      <c r="K18" s="39"/>
      <c r="L18" s="37"/>
    </row>
    <row r="19" spans="1:12">
      <c r="A19" s="37"/>
      <c r="B19" s="39"/>
      <c r="C19" s="37"/>
      <c r="D19" s="37"/>
      <c r="E19" s="39"/>
      <c r="F19" s="37"/>
      <c r="G19" s="37"/>
      <c r="H19" s="39"/>
      <c r="I19" s="37"/>
      <c r="J19" s="37"/>
      <c r="K19" s="39"/>
      <c r="L19" s="37"/>
    </row>
    <row r="20" spans="1:12">
      <c r="A20" s="37"/>
      <c r="B20" s="39"/>
      <c r="C20" s="37"/>
      <c r="D20" s="37"/>
      <c r="E20" s="39"/>
      <c r="F20" s="37"/>
      <c r="G20" s="37"/>
      <c r="H20" s="39"/>
      <c r="I20" s="37"/>
      <c r="J20" s="37"/>
      <c r="K20" s="39"/>
      <c r="L20" s="37"/>
    </row>
    <row r="21" spans="1:12">
      <c r="A21" s="37"/>
      <c r="B21" s="39"/>
      <c r="C21" s="37"/>
      <c r="D21" s="37"/>
      <c r="E21" s="39"/>
      <c r="F21" s="37"/>
      <c r="G21" s="37"/>
      <c r="H21" s="39"/>
      <c r="I21" s="37"/>
      <c r="J21" s="37"/>
      <c r="K21" s="39"/>
      <c r="L21" s="37"/>
    </row>
    <row r="22" spans="1:12">
      <c r="A22" s="37"/>
      <c r="B22" s="39"/>
      <c r="C22" s="37"/>
      <c r="D22" s="37"/>
      <c r="E22" s="39"/>
      <c r="F22" s="37"/>
      <c r="G22" s="37"/>
      <c r="H22" s="39"/>
      <c r="I22" s="37"/>
      <c r="J22" s="37"/>
      <c r="K22" s="39"/>
      <c r="L22" s="37"/>
    </row>
    <row r="23" spans="1:12">
      <c r="A23" s="37"/>
      <c r="B23" s="39"/>
      <c r="C23" s="37"/>
      <c r="D23" s="37"/>
      <c r="E23" s="39"/>
      <c r="F23" s="37"/>
      <c r="G23" s="37"/>
      <c r="H23" s="39"/>
      <c r="I23" s="37"/>
      <c r="J23" s="37"/>
      <c r="K23" s="39"/>
      <c r="L23" s="37"/>
    </row>
    <row r="24" spans="1:12">
      <c r="A24" s="37"/>
      <c r="B24" s="39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2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2">
      <c r="A26" s="37"/>
      <c r="B26" s="39"/>
      <c r="C26" s="37"/>
      <c r="D26" s="37"/>
      <c r="E26" s="39"/>
      <c r="F26" s="37"/>
      <c r="G26" s="37"/>
      <c r="H26" s="39"/>
      <c r="I26" s="37"/>
      <c r="J26" s="37"/>
      <c r="K26" s="39"/>
      <c r="L26" s="37"/>
    </row>
    <row r="27" spans="1:12" ht="14">
      <c r="A27" s="36" t="str">
        <f>'Dados Dashboard'!D26</f>
        <v>Filtro</v>
      </c>
      <c r="B27" s="40" t="str">
        <f>'Dados Dashboard'!E26</f>
        <v>Quantidade</v>
      </c>
      <c r="C27" s="37"/>
      <c r="D27" s="37"/>
      <c r="E27" s="39"/>
      <c r="F27" s="37"/>
      <c r="G27" s="37"/>
      <c r="H27" s="39"/>
      <c r="I27" s="37"/>
      <c r="J27" s="37"/>
      <c r="K27" s="39"/>
      <c r="L27" s="37"/>
    </row>
    <row r="28" spans="1:12">
      <c r="A28" s="37" t="str">
        <f>'Dados Dashboard'!D27</f>
        <v>Texto</v>
      </c>
      <c r="B28" s="39">
        <f>'Dados Dashboard'!E27</f>
        <v>60754</v>
      </c>
      <c r="C28" s="37"/>
      <c r="D28" s="37"/>
      <c r="E28" s="39"/>
      <c r="F28" s="37"/>
      <c r="G28" s="37"/>
      <c r="H28" s="39"/>
      <c r="I28" s="37"/>
      <c r="J28" s="37"/>
      <c r="K28" s="39"/>
      <c r="L28" s="37"/>
    </row>
    <row r="29" spans="1:12">
      <c r="A29" s="37" t="str">
        <f>'Dados Dashboard'!D28</f>
        <v>Manuscrito</v>
      </c>
      <c r="B29" s="39">
        <f>'Dados Dashboard'!E28</f>
        <v>4619</v>
      </c>
      <c r="C29" s="37"/>
      <c r="D29" s="37"/>
      <c r="E29" s="39"/>
      <c r="F29" s="37"/>
      <c r="G29" s="37"/>
      <c r="H29" s="39"/>
      <c r="I29" s="37"/>
      <c r="J29" s="37"/>
      <c r="K29" s="39"/>
      <c r="L29" s="37"/>
    </row>
    <row r="30" spans="1:12">
      <c r="A30" s="37" t="str">
        <f>'Dados Dashboard'!D29</f>
        <v>Imagem</v>
      </c>
      <c r="B30" s="39">
        <f>'Dados Dashboard'!E29</f>
        <v>856</v>
      </c>
      <c r="C30" s="37"/>
      <c r="D30" s="37"/>
      <c r="E30" s="39"/>
      <c r="F30" s="37"/>
      <c r="G30" s="37"/>
      <c r="H30" s="39"/>
      <c r="I30" s="37"/>
      <c r="J30" s="37"/>
      <c r="K30" s="39"/>
      <c r="L30" s="37"/>
    </row>
    <row r="31" spans="1:12">
      <c r="A31" s="37" t="str">
        <f>'Dados Dashboard'!D30</f>
        <v>Documento electrónico</v>
      </c>
      <c r="B31" s="39">
        <f>'Dados Dashboard'!E30</f>
        <v>129</v>
      </c>
      <c r="C31" s="37"/>
      <c r="D31" s="37"/>
      <c r="E31" s="39"/>
      <c r="F31" s="37"/>
      <c r="G31" s="37"/>
      <c r="H31" s="39"/>
      <c r="I31" s="37"/>
      <c r="J31" s="37"/>
      <c r="K31" s="39"/>
      <c r="L31" s="37"/>
    </row>
    <row r="32" spans="1:12">
      <c r="A32" s="37" t="str">
        <f>'Dados Dashboard'!D31</f>
        <v>Cartografia</v>
      </c>
      <c r="B32" s="39">
        <f>'Dados Dashboard'!E31</f>
        <v>61</v>
      </c>
      <c r="C32" s="37"/>
      <c r="D32" s="37"/>
      <c r="E32" s="39"/>
      <c r="F32" s="37"/>
      <c r="G32" s="37"/>
      <c r="H32" s="39"/>
      <c r="I32" s="37"/>
      <c r="J32" s="37"/>
      <c r="K32" s="39"/>
      <c r="L32" s="37"/>
    </row>
    <row r="33" spans="1:12">
      <c r="A33" s="37" t="str">
        <f>'Dados Dashboard'!D32</f>
        <v>Música</v>
      </c>
      <c r="B33" s="39">
        <f>'Dados Dashboard'!E32</f>
        <v>29</v>
      </c>
      <c r="C33" s="37"/>
      <c r="D33" s="37"/>
      <c r="E33" s="39"/>
      <c r="F33" s="37"/>
      <c r="G33" s="37"/>
      <c r="H33" s="39"/>
      <c r="I33" s="37"/>
      <c r="J33" s="37"/>
      <c r="K33" s="39"/>
      <c r="L33" s="37"/>
    </row>
    <row r="34" spans="1:12">
      <c r="A34" s="37" t="str">
        <f>'Dados Dashboard'!D33</f>
        <v>Multimédia</v>
      </c>
      <c r="B34" s="39">
        <f>'Dados Dashboard'!E33</f>
        <v>11</v>
      </c>
      <c r="C34" s="37"/>
      <c r="D34" s="37"/>
      <c r="E34" s="39"/>
      <c r="F34" s="37"/>
      <c r="G34" s="37"/>
      <c r="H34" s="39"/>
      <c r="I34" s="37"/>
      <c r="J34" s="37"/>
      <c r="K34" s="39"/>
      <c r="L34" s="37"/>
    </row>
    <row r="35" spans="1:12">
      <c r="A35" s="37" t="str">
        <f>'Dados Dashboard'!D34</f>
        <v>Partituras</v>
      </c>
      <c r="B35" s="39">
        <f>'Dados Dashboard'!E34</f>
        <v>2</v>
      </c>
      <c r="C35" s="37"/>
      <c r="D35" s="37"/>
      <c r="E35" s="39"/>
      <c r="F35" s="37"/>
      <c r="G35" s="37"/>
      <c r="H35" s="39"/>
      <c r="I35" s="37"/>
      <c r="J35" s="37"/>
      <c r="K35" s="39"/>
      <c r="L35" s="37"/>
    </row>
    <row r="36" spans="1:12">
      <c r="A36" s="37" t="str">
        <f>'Dados Dashboard'!D35</f>
        <v>Documento sonoro</v>
      </c>
      <c r="B36" s="39">
        <f>'Dados Dashboard'!E35</f>
        <v>2</v>
      </c>
      <c r="C36" s="37"/>
      <c r="D36" s="37"/>
      <c r="E36" s="39"/>
      <c r="F36" s="37"/>
      <c r="G36" s="37"/>
      <c r="H36" s="39"/>
      <c r="I36" s="37"/>
      <c r="J36" s="37"/>
      <c r="K36" s="39"/>
      <c r="L36" s="37"/>
    </row>
    <row r="37" spans="1:12">
      <c r="A37" s="37" t="str">
        <f>'Dados Dashboard'!D36</f>
        <v>Manuscrito (cartografia)</v>
      </c>
      <c r="B37" s="39">
        <f>'Dados Dashboard'!E36</f>
        <v>1</v>
      </c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>
      <c r="A42" s="37"/>
      <c r="B42" s="39"/>
      <c r="C42" s="37"/>
      <c r="D42" s="37"/>
      <c r="E42" s="39"/>
      <c r="F42" s="37"/>
      <c r="G42" s="37"/>
      <c r="H42" s="39"/>
      <c r="I42" s="37"/>
      <c r="J42" s="37"/>
      <c r="K42" s="39"/>
      <c r="L42" s="37"/>
    </row>
    <row r="43" spans="1:12">
      <c r="A43" s="37"/>
      <c r="B43" s="39"/>
      <c r="C43" s="37"/>
      <c r="D43" s="37"/>
      <c r="E43" s="39"/>
      <c r="F43" s="37"/>
      <c r="G43" s="37"/>
      <c r="H43" s="39"/>
      <c r="I43" s="37"/>
      <c r="J43" s="37"/>
      <c r="K43" s="39"/>
      <c r="L43" s="37"/>
    </row>
    <row r="44" spans="1:12">
      <c r="A44" s="37"/>
      <c r="B44" s="39"/>
      <c r="C44" s="37"/>
      <c r="D44" s="37"/>
      <c r="E44" s="39"/>
      <c r="F44" s="37"/>
      <c r="G44" s="37"/>
      <c r="H44" s="39"/>
      <c r="I44" s="37"/>
      <c r="J44" s="37"/>
      <c r="K44" s="39"/>
      <c r="L44" s="37"/>
    </row>
    <row r="45" spans="1:12" ht="14">
      <c r="A45" s="36" t="str">
        <f>'Dados Dashboard'!J26</f>
        <v>Filtro</v>
      </c>
      <c r="B45" s="40" t="str">
        <f>'Dados Dashboard'!K26</f>
        <v>Quantidade</v>
      </c>
      <c r="C45" s="37"/>
      <c r="D45" s="37"/>
      <c r="E45" s="39"/>
      <c r="F45" s="37"/>
      <c r="G45" s="37"/>
      <c r="H45" s="39"/>
      <c r="I45" s="37"/>
      <c r="J45" s="37"/>
      <c r="K45" s="39"/>
      <c r="L45" s="37"/>
    </row>
    <row r="46" spans="1:12">
      <c r="A46" s="37" t="str">
        <f>'Dados Dashboard'!J27</f>
        <v>Português</v>
      </c>
      <c r="B46" s="39">
        <f>'Dados Dashboard'!K27</f>
        <v>45783</v>
      </c>
      <c r="C46" s="37"/>
      <c r="D46" s="37"/>
      <c r="E46" s="39"/>
      <c r="F46" s="37"/>
      <c r="G46" s="37"/>
      <c r="H46" s="39"/>
      <c r="I46" s="37"/>
      <c r="J46" s="37"/>
      <c r="K46" s="39"/>
      <c r="L46" s="37"/>
    </row>
    <row r="47" spans="1:12">
      <c r="A47" s="37" t="str">
        <f>'Dados Dashboard'!J28</f>
        <v>Latim</v>
      </c>
      <c r="B47" s="39">
        <f>'Dados Dashboard'!K28</f>
        <v>11123</v>
      </c>
      <c r="C47" s="37"/>
      <c r="D47" s="37"/>
      <c r="E47" s="39"/>
      <c r="F47" s="37"/>
      <c r="G47" s="37"/>
      <c r="H47" s="39"/>
      <c r="I47" s="37"/>
      <c r="J47" s="37"/>
      <c r="K47" s="39"/>
      <c r="L47" s="37"/>
    </row>
    <row r="48" spans="1:12">
      <c r="A48" s="37" t="str">
        <f>'Dados Dashboard'!J29</f>
        <v>Francês</v>
      </c>
      <c r="B48" s="39">
        <f>'Dados Dashboard'!K29</f>
        <v>5612</v>
      </c>
      <c r="C48" s="37"/>
      <c r="D48" s="37"/>
      <c r="E48" s="39"/>
      <c r="F48" s="37"/>
      <c r="G48" s="37"/>
      <c r="H48" s="39"/>
      <c r="I48" s="37"/>
      <c r="J48" s="37"/>
      <c r="K48" s="39"/>
      <c r="L48" s="37"/>
    </row>
    <row r="49" spans="1:12">
      <c r="A49" s="37" t="str">
        <f>'Dados Dashboard'!J30</f>
        <v>Espanhol</v>
      </c>
      <c r="B49" s="39">
        <f>'Dados Dashboard'!K30</f>
        <v>3922</v>
      </c>
      <c r="C49" s="37"/>
      <c r="D49" s="37"/>
      <c r="E49" s="39"/>
      <c r="F49" s="37"/>
      <c r="G49" s="37"/>
      <c r="H49" s="39"/>
      <c r="I49" s="37"/>
      <c r="J49" s="37"/>
      <c r="K49" s="39"/>
      <c r="L49" s="37"/>
    </row>
    <row r="50" spans="1:12">
      <c r="A50" s="37" t="str">
        <f>'Dados Dashboard'!J31</f>
        <v>Inglês</v>
      </c>
      <c r="B50" s="39">
        <f>'Dados Dashboard'!K31</f>
        <v>2326</v>
      </c>
      <c r="C50" s="37"/>
      <c r="D50" s="37"/>
      <c r="E50" s="39"/>
      <c r="F50" s="37"/>
      <c r="G50" s="37"/>
      <c r="H50" s="39"/>
      <c r="I50" s="37"/>
      <c r="J50" s="37"/>
      <c r="K50" s="39"/>
      <c r="L50" s="37"/>
    </row>
    <row r="51" spans="1:12">
      <c r="A51" s="37" t="str">
        <f>'Dados Dashboard'!J32</f>
        <v>Italiano</v>
      </c>
      <c r="B51" s="39">
        <f>'Dados Dashboard'!K32</f>
        <v>1194</v>
      </c>
      <c r="C51" s="37"/>
      <c r="D51" s="37"/>
      <c r="E51" s="39"/>
      <c r="F51" s="37"/>
      <c r="G51" s="37"/>
      <c r="H51" s="39"/>
      <c r="I51" s="37"/>
      <c r="J51" s="37"/>
      <c r="K51" s="39"/>
      <c r="L51" s="37"/>
    </row>
    <row r="52" spans="1:12">
      <c r="A52" s="37" t="str">
        <f>'Dados Dashboard'!J33</f>
        <v>Alemão</v>
      </c>
      <c r="B52" s="39">
        <f>'Dados Dashboard'!K33</f>
        <v>562</v>
      </c>
      <c r="C52" s="37"/>
      <c r="D52" s="37"/>
      <c r="E52" s="39"/>
      <c r="F52" s="37"/>
      <c r="G52" s="37"/>
      <c r="H52" s="39"/>
      <c r="I52" s="37"/>
      <c r="J52" s="37"/>
      <c r="K52" s="39"/>
      <c r="L52" s="37"/>
    </row>
    <row r="53" spans="1:12">
      <c r="A53" s="37" t="str">
        <f>'Dados Dashboard'!J34</f>
        <v>Grego antigo (até 1453)</v>
      </c>
      <c r="B53" s="39">
        <f>'Dados Dashboard'!K34</f>
        <v>262</v>
      </c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2">
      <c r="A54" s="37" t="str">
        <f>'Dados Dashboard'!J35</f>
        <v>Árabe</v>
      </c>
      <c r="B54" s="39">
        <f>'Dados Dashboard'!K35</f>
        <v>145</v>
      </c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2">
      <c r="A55" s="37" t="str">
        <f>'Dados Dashboard'!J36</f>
        <v>Hebraico</v>
      </c>
      <c r="B55" s="39">
        <f>'Dados Dashboard'!K36</f>
        <v>102</v>
      </c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2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2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2">
      <c r="A58" s="37"/>
      <c r="B58" s="39"/>
      <c r="C58" s="37"/>
      <c r="D58" s="37"/>
      <c r="E58" s="39"/>
      <c r="F58" s="37"/>
      <c r="G58" s="37"/>
      <c r="H58" s="39"/>
      <c r="I58" s="37"/>
      <c r="J58" s="37"/>
      <c r="K58" s="39"/>
      <c r="L58" s="37"/>
    </row>
    <row r="59" spans="1:12">
      <c r="A59" s="37"/>
      <c r="B59" s="39"/>
      <c r="C59" s="37"/>
      <c r="D59" s="37"/>
      <c r="E59" s="39"/>
      <c r="F59" s="37"/>
      <c r="G59" s="37"/>
      <c r="H59" s="39"/>
      <c r="I59" s="37"/>
      <c r="J59" s="37"/>
      <c r="K59" s="39"/>
      <c r="L59" s="37"/>
    </row>
    <row r="60" spans="1:12">
      <c r="A60" s="37"/>
      <c r="B60" s="39"/>
      <c r="C60" s="37"/>
      <c r="D60" s="37"/>
      <c r="E60" s="39"/>
      <c r="F60" s="37"/>
      <c r="G60" s="37"/>
      <c r="H60" s="39"/>
      <c r="I60" s="37"/>
      <c r="J60" s="37"/>
      <c r="K60" s="39"/>
      <c r="L60" s="37"/>
    </row>
    <row r="61" spans="1:12">
      <c r="A61" s="37"/>
      <c r="B61" s="39"/>
      <c r="C61" s="37"/>
      <c r="D61" s="37"/>
      <c r="E61" s="39"/>
      <c r="F61" s="37"/>
      <c r="G61" s="37"/>
      <c r="H61" s="39"/>
      <c r="I61" s="37"/>
      <c r="J61" s="37"/>
      <c r="K61" s="39"/>
      <c r="L61" s="37"/>
    </row>
    <row r="62" spans="1:12">
      <c r="A62" s="37"/>
      <c r="B62" s="39"/>
      <c r="C62" s="37"/>
      <c r="D62" s="37"/>
      <c r="E62" s="39"/>
      <c r="F62" s="37"/>
      <c r="G62" s="37"/>
      <c r="H62" s="39"/>
      <c r="I62" s="37"/>
      <c r="J62" s="37"/>
      <c r="K62" s="39"/>
      <c r="L62" s="37"/>
    </row>
    <row r="63" spans="1:12">
      <c r="A63" s="37"/>
      <c r="B63" s="39"/>
      <c r="C63" s="37"/>
      <c r="D63" s="37"/>
      <c r="E63" s="39"/>
      <c r="F63" s="37"/>
      <c r="G63" s="37"/>
      <c r="H63" s="39"/>
      <c r="I63" s="37"/>
      <c r="J63" s="37"/>
      <c r="K63" s="39"/>
      <c r="L63" s="37"/>
    </row>
    <row r="64" spans="1:12">
      <c r="A64" s="37"/>
      <c r="B64" s="39"/>
      <c r="C64" s="37"/>
      <c r="D64" s="37"/>
      <c r="E64" s="39"/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/>
      <c r="E65" s="39"/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10">
    <mergeCell ref="A1:L1"/>
    <mergeCell ref="A2:H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0"/>
  <sheetViews>
    <sheetView zoomScaleNormal="100" zoomScaleSheetLayoutView="100" workbookViewId="0"/>
  </sheetViews>
  <sheetFormatPr baseColWidth="10" defaultColWidth="8.83203125" defaultRowHeight="13"/>
  <cols>
    <col min="1" max="12" width="15" customWidth="1"/>
  </cols>
  <sheetData>
    <row r="1" spans="1:12" ht="32" customHeight="1">
      <c r="A1" s="71" t="s">
        <v>394</v>
      </c>
      <c r="B1" s="72"/>
      <c r="C1" s="71"/>
      <c r="D1" s="71"/>
      <c r="E1" s="72"/>
      <c r="F1" s="71"/>
      <c r="G1" s="71"/>
      <c r="H1" s="72"/>
      <c r="I1" s="71"/>
      <c r="J1" s="71"/>
      <c r="K1" s="72"/>
      <c r="L1" s="71"/>
    </row>
    <row r="2" spans="1:12" ht="22" customHeight="1">
      <c r="A2" s="73" t="s">
        <v>395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>
      <c r="A4" s="66" t="s">
        <v>393</v>
      </c>
      <c r="B4" s="67"/>
      <c r="C4" s="37"/>
      <c r="D4" s="66" t="s">
        <v>340</v>
      </c>
      <c r="E4" s="67"/>
      <c r="F4" s="37"/>
      <c r="G4" s="66" t="s">
        <v>339</v>
      </c>
      <c r="H4" s="67"/>
      <c r="I4" s="37"/>
      <c r="J4" s="66" t="s">
        <v>396</v>
      </c>
      <c r="K4" s="67"/>
      <c r="L4" s="37"/>
    </row>
    <row r="5" spans="1:12">
      <c r="A5" s="68">
        <f>Arquivo!D7</f>
        <v>5275</v>
      </c>
      <c r="B5" s="69"/>
      <c r="C5" s="37"/>
      <c r="D5" s="68">
        <f>Arquivo!C20</f>
        <v>3295</v>
      </c>
      <c r="E5" s="69"/>
      <c r="F5" s="37"/>
      <c r="G5" s="68">
        <f>Arquivo!C19</f>
        <v>1980</v>
      </c>
      <c r="H5" s="69"/>
      <c r="I5" s="37"/>
      <c r="J5" s="75">
        <f>Arquivo!C20/Arquivo!D7</f>
        <v>0.62464454976303319</v>
      </c>
      <c r="K5" s="69"/>
      <c r="L5" s="37"/>
    </row>
    <row r="6" spans="1:12">
      <c r="A6" s="70"/>
      <c r="B6" s="69"/>
      <c r="C6" s="37"/>
      <c r="D6" s="70"/>
      <c r="E6" s="69"/>
      <c r="F6" s="37"/>
      <c r="G6" s="70"/>
      <c r="H6" s="69"/>
      <c r="I6" s="37"/>
      <c r="J6" s="70"/>
      <c r="K6" s="69"/>
      <c r="L6" s="37"/>
    </row>
    <row r="7" spans="1:12">
      <c r="A7" s="37"/>
      <c r="B7" s="39"/>
      <c r="C7" s="37"/>
      <c r="D7" s="37"/>
      <c r="E7" s="39"/>
      <c r="F7" s="37"/>
      <c r="G7" s="37"/>
      <c r="H7" s="39"/>
      <c r="I7" s="37"/>
      <c r="J7" s="37"/>
      <c r="K7" s="39"/>
      <c r="L7" s="37"/>
    </row>
    <row r="8" spans="1:12">
      <c r="A8" s="37"/>
      <c r="B8" s="39"/>
      <c r="C8" s="37"/>
      <c r="D8" s="37"/>
      <c r="E8" s="39"/>
      <c r="F8" s="37"/>
      <c r="G8" s="37"/>
      <c r="H8" s="39"/>
      <c r="I8" s="37"/>
      <c r="J8" s="37"/>
      <c r="K8" s="39"/>
      <c r="L8" s="37"/>
    </row>
    <row r="9" spans="1:12" ht="14">
      <c r="A9" s="36" t="str">
        <f>'Dados Dashboard'!A42</f>
        <v>Filtro</v>
      </c>
      <c r="B9" s="40" t="str">
        <f>'Dados Dashboard'!B42</f>
        <v>Quantidade</v>
      </c>
      <c r="C9" s="37"/>
      <c r="D9" s="37"/>
      <c r="E9" s="39"/>
      <c r="F9" s="37"/>
      <c r="G9" s="37"/>
      <c r="H9" s="39"/>
      <c r="I9" s="37"/>
      <c r="J9" s="37"/>
      <c r="K9" s="39"/>
      <c r="L9" s="37"/>
    </row>
    <row r="10" spans="1:12">
      <c r="A10" s="37" t="str">
        <f>'Dados Dashboard'!A43</f>
        <v>Coleção</v>
      </c>
      <c r="B10" s="39">
        <f>'Dados Dashboard'!B43</f>
        <v>4</v>
      </c>
      <c r="C10" s="37"/>
      <c r="D10" s="37"/>
      <c r="E10" s="39"/>
      <c r="F10" s="37"/>
      <c r="G10" s="37"/>
      <c r="H10" s="39"/>
      <c r="I10" s="37"/>
      <c r="J10" s="37"/>
      <c r="K10" s="39"/>
      <c r="L10" s="37"/>
    </row>
    <row r="11" spans="1:12">
      <c r="A11" s="37" t="str">
        <f>'Dados Dashboard'!A44</f>
        <v>Fundo</v>
      </c>
      <c r="B11" s="39">
        <f>'Dados Dashboard'!B44</f>
        <v>1</v>
      </c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>
      <c r="A12" s="37" t="str">
        <f>'Dados Dashboard'!A45</f>
        <v>Secção</v>
      </c>
      <c r="B12" s="39">
        <f>'Dados Dashboard'!B45</f>
        <v>14</v>
      </c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>
      <c r="A13" s="37" t="str">
        <f>'Dados Dashboard'!A46</f>
        <v>Subsecção</v>
      </c>
      <c r="B13" s="39">
        <f>'Dados Dashboard'!B46</f>
        <v>11</v>
      </c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 t="str">
        <f>'Dados Dashboard'!A47</f>
        <v>Série</v>
      </c>
      <c r="B14" s="39">
        <f>'Dados Dashboard'!B47</f>
        <v>169</v>
      </c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>
      <c r="A15" s="37" t="str">
        <f>'Dados Dashboard'!A48</f>
        <v>Subsérie</v>
      </c>
      <c r="B15" s="39">
        <f>'Dados Dashboard'!B48</f>
        <v>7</v>
      </c>
      <c r="C15" s="37"/>
      <c r="D15" s="37"/>
      <c r="E15" s="39"/>
      <c r="F15" s="37"/>
      <c r="G15" s="37"/>
      <c r="H15" s="39"/>
      <c r="I15" s="37"/>
      <c r="J15" s="37"/>
      <c r="K15" s="39"/>
      <c r="L15" s="37"/>
    </row>
    <row r="16" spans="1:12">
      <c r="A16" s="37" t="str">
        <f>'Dados Dashboard'!A49</f>
        <v>Unidade de instalação</v>
      </c>
      <c r="B16" s="39">
        <f>'Dados Dashboard'!B49</f>
        <v>168</v>
      </c>
      <c r="C16" s="37"/>
      <c r="D16" s="37"/>
      <c r="E16" s="39"/>
      <c r="F16" s="37"/>
      <c r="G16" s="37"/>
      <c r="H16" s="39"/>
      <c r="I16" s="37"/>
      <c r="J16" s="37"/>
      <c r="K16" s="39"/>
      <c r="L16" s="37"/>
    </row>
    <row r="17" spans="1:12">
      <c r="A17" s="37" t="str">
        <f>'Dados Dashboard'!A50</f>
        <v>Processo</v>
      </c>
      <c r="B17" s="39">
        <f>'Dados Dashboard'!B50</f>
        <v>2199</v>
      </c>
      <c r="C17" s="37"/>
      <c r="D17" s="37"/>
      <c r="E17" s="39"/>
      <c r="F17" s="37"/>
      <c r="G17" s="37"/>
      <c r="H17" s="39"/>
      <c r="I17" s="37"/>
      <c r="J17" s="37"/>
      <c r="K17" s="39"/>
      <c r="L17" s="37"/>
    </row>
    <row r="18" spans="1:12">
      <c r="A18" s="37" t="str">
        <f>'Dados Dashboard'!A51</f>
        <v>Documento composto</v>
      </c>
      <c r="B18" s="39">
        <f>'Dados Dashboard'!B51</f>
        <v>451</v>
      </c>
      <c r="C18" s="37"/>
      <c r="D18" s="37"/>
      <c r="E18" s="39"/>
      <c r="F18" s="37"/>
      <c r="G18" s="37"/>
      <c r="H18" s="39"/>
      <c r="I18" s="37"/>
      <c r="J18" s="37"/>
      <c r="K18" s="39"/>
      <c r="L18" s="37"/>
    </row>
    <row r="19" spans="1:12">
      <c r="A19" s="37" t="str">
        <f>'Dados Dashboard'!A52</f>
        <v>Documento simples</v>
      </c>
      <c r="B19" s="39">
        <f>'Dados Dashboard'!B52</f>
        <v>2251</v>
      </c>
      <c r="C19" s="37"/>
      <c r="D19" s="37"/>
      <c r="E19" s="39"/>
      <c r="F19" s="37"/>
      <c r="G19" s="37"/>
      <c r="H19" s="39"/>
      <c r="I19" s="37"/>
      <c r="J19" s="37"/>
      <c r="K19" s="39"/>
      <c r="L19" s="37"/>
    </row>
    <row r="20" spans="1:12">
      <c r="A20" s="37"/>
      <c r="B20" s="39"/>
      <c r="C20" s="37"/>
      <c r="D20" s="37"/>
      <c r="E20" s="39"/>
      <c r="F20" s="37"/>
      <c r="G20" s="37"/>
      <c r="H20" s="39"/>
      <c r="I20" s="37"/>
      <c r="J20" s="37"/>
      <c r="K20" s="39"/>
      <c r="L20" s="37"/>
    </row>
    <row r="21" spans="1:12">
      <c r="A21" s="37"/>
      <c r="B21" s="39"/>
      <c r="C21" s="37"/>
      <c r="D21" s="37"/>
      <c r="E21" s="39"/>
      <c r="F21" s="37"/>
      <c r="G21" s="37"/>
      <c r="H21" s="39"/>
      <c r="I21" s="37"/>
      <c r="J21" s="37"/>
      <c r="K21" s="39"/>
      <c r="L21" s="37"/>
    </row>
    <row r="22" spans="1:12">
      <c r="A22" s="37"/>
      <c r="B22" s="39"/>
      <c r="C22" s="37"/>
      <c r="D22" s="37"/>
      <c r="E22" s="39"/>
      <c r="F22" s="37"/>
      <c r="G22" s="37"/>
      <c r="H22" s="39"/>
      <c r="I22" s="37"/>
      <c r="J22" s="37"/>
      <c r="K22" s="39"/>
      <c r="L22" s="37"/>
    </row>
    <row r="23" spans="1:12">
      <c r="A23" s="37"/>
      <c r="B23" s="39"/>
      <c r="C23" s="37"/>
      <c r="D23" s="37"/>
      <c r="E23" s="39"/>
      <c r="F23" s="37"/>
      <c r="G23" s="37"/>
      <c r="H23" s="39"/>
      <c r="I23" s="37"/>
      <c r="J23" s="37"/>
      <c r="K23" s="39"/>
      <c r="L23" s="37"/>
    </row>
    <row r="24" spans="1:12">
      <c r="A24" s="37"/>
      <c r="B24" s="39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2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2">
      <c r="A26" s="37"/>
      <c r="B26" s="39"/>
      <c r="C26" s="37"/>
      <c r="D26" s="37"/>
      <c r="E26" s="39"/>
      <c r="F26" s="37"/>
      <c r="G26" s="37"/>
      <c r="H26" s="39"/>
      <c r="I26" s="37"/>
      <c r="J26" s="37"/>
      <c r="K26" s="39"/>
      <c r="L26" s="37"/>
    </row>
    <row r="27" spans="1:12" ht="14">
      <c r="A27" s="36" t="str">
        <f>'Dados Dashboard'!D42</f>
        <v>Filtro</v>
      </c>
      <c r="B27" s="40" t="str">
        <f>'Dados Dashboard'!E42</f>
        <v>Quantidade</v>
      </c>
      <c r="C27" s="37"/>
      <c r="D27" s="37"/>
      <c r="E27" s="39"/>
      <c r="F27" s="37"/>
      <c r="G27" s="37"/>
      <c r="H27" s="39"/>
      <c r="I27" s="37"/>
      <c r="J27" s="37"/>
      <c r="K27" s="39"/>
      <c r="L27" s="37"/>
    </row>
    <row r="28" spans="1:12">
      <c r="A28" s="37" t="str">
        <f>'Dados Dashboard'!D43</f>
        <v>Sem objetos digitais</v>
      </c>
      <c r="B28" s="39">
        <f>'Dados Dashboard'!E43</f>
        <v>1980</v>
      </c>
      <c r="C28" s="37"/>
      <c r="D28" s="37"/>
      <c r="E28" s="39"/>
      <c r="F28" s="37"/>
      <c r="G28" s="37"/>
      <c r="H28" s="39"/>
      <c r="I28" s="37"/>
      <c r="J28" s="37"/>
      <c r="K28" s="39"/>
      <c r="L28" s="37"/>
    </row>
    <row r="29" spans="1:12">
      <c r="A29" s="37" t="str">
        <f>'Dados Dashboard'!D44</f>
        <v>Com objetos digitais</v>
      </c>
      <c r="B29" s="39">
        <f>'Dados Dashboard'!E44</f>
        <v>3295</v>
      </c>
      <c r="C29" s="37"/>
      <c r="D29" s="37"/>
      <c r="E29" s="39"/>
      <c r="F29" s="37"/>
      <c r="G29" s="37"/>
      <c r="H29" s="39"/>
      <c r="I29" s="37"/>
      <c r="J29" s="37"/>
      <c r="K29" s="39"/>
      <c r="L29" s="37"/>
    </row>
    <row r="30" spans="1:12">
      <c r="A30" s="37"/>
      <c r="B30" s="39"/>
      <c r="C30" s="37"/>
      <c r="D30" s="37"/>
      <c r="E30" s="39"/>
      <c r="F30" s="37"/>
      <c r="G30" s="37"/>
      <c r="H30" s="39"/>
      <c r="I30" s="37"/>
      <c r="J30" s="37"/>
      <c r="K30" s="39"/>
      <c r="L30" s="37"/>
    </row>
    <row r="31" spans="1:12">
      <c r="A31" s="37"/>
      <c r="B31" s="39"/>
      <c r="C31" s="37"/>
      <c r="D31" s="37"/>
      <c r="E31" s="39"/>
      <c r="F31" s="37"/>
      <c r="G31" s="37"/>
      <c r="H31" s="39"/>
      <c r="I31" s="37"/>
      <c r="J31" s="37"/>
      <c r="K31" s="39"/>
      <c r="L31" s="37"/>
    </row>
    <row r="32" spans="1:12">
      <c r="A32" s="37"/>
      <c r="B32" s="39"/>
      <c r="C32" s="37"/>
      <c r="D32" s="37"/>
      <c r="E32" s="39"/>
      <c r="F32" s="37"/>
      <c r="G32" s="37"/>
      <c r="H32" s="39"/>
      <c r="I32" s="37"/>
      <c r="J32" s="37"/>
      <c r="K32" s="39"/>
      <c r="L32" s="37"/>
    </row>
    <row r="33" spans="1:12">
      <c r="A33" s="37"/>
      <c r="B33" s="39"/>
      <c r="C33" s="37"/>
      <c r="D33" s="37"/>
      <c r="E33" s="39"/>
      <c r="F33" s="37"/>
      <c r="G33" s="37"/>
      <c r="H33" s="39"/>
      <c r="I33" s="37"/>
      <c r="J33" s="37"/>
      <c r="K33" s="39"/>
      <c r="L33" s="37"/>
    </row>
    <row r="34" spans="1:12">
      <c r="A34" s="37"/>
      <c r="B34" s="39"/>
      <c r="C34" s="37"/>
      <c r="D34" s="37"/>
      <c r="E34" s="39"/>
      <c r="F34" s="37"/>
      <c r="G34" s="37"/>
      <c r="H34" s="39"/>
      <c r="I34" s="37"/>
      <c r="J34" s="37"/>
      <c r="K34" s="39"/>
      <c r="L34" s="37"/>
    </row>
    <row r="35" spans="1:12">
      <c r="A35" s="37"/>
      <c r="B35" s="39"/>
      <c r="C35" s="37"/>
      <c r="D35" s="37"/>
      <c r="E35" s="39"/>
      <c r="F35" s="37"/>
      <c r="G35" s="37"/>
      <c r="H35" s="39"/>
      <c r="I35" s="37"/>
      <c r="J35" s="37"/>
      <c r="K35" s="39"/>
      <c r="L35" s="37"/>
    </row>
    <row r="36" spans="1:12">
      <c r="A36" s="37"/>
      <c r="B36" s="39"/>
      <c r="C36" s="37"/>
      <c r="D36" s="37"/>
      <c r="E36" s="39"/>
      <c r="F36" s="37"/>
      <c r="G36" s="37"/>
      <c r="H36" s="39"/>
      <c r="I36" s="37"/>
      <c r="J36" s="37"/>
      <c r="K36" s="39"/>
      <c r="L36" s="37"/>
    </row>
    <row r="37" spans="1:12">
      <c r="A37" s="37"/>
      <c r="B37" s="39"/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>
      <c r="A42" s="37"/>
      <c r="B42" s="39"/>
      <c r="C42" s="37"/>
      <c r="D42" s="37"/>
      <c r="E42" s="39"/>
      <c r="F42" s="37"/>
      <c r="G42" s="37"/>
      <c r="H42" s="39"/>
      <c r="I42" s="37"/>
      <c r="J42" s="37"/>
      <c r="K42" s="39"/>
      <c r="L42" s="37"/>
    </row>
    <row r="43" spans="1:12">
      <c r="A43" s="37"/>
      <c r="B43" s="39"/>
      <c r="C43" s="37"/>
      <c r="D43" s="37"/>
      <c r="E43" s="39"/>
      <c r="F43" s="37"/>
      <c r="G43" s="37"/>
      <c r="H43" s="39"/>
      <c r="I43" s="37"/>
      <c r="J43" s="37"/>
      <c r="K43" s="39"/>
      <c r="L43" s="37"/>
    </row>
    <row r="44" spans="1:12">
      <c r="A44" s="37"/>
      <c r="B44" s="39"/>
      <c r="C44" s="37"/>
      <c r="D44" s="37"/>
      <c r="E44" s="39"/>
      <c r="F44" s="37"/>
      <c r="G44" s="37"/>
      <c r="H44" s="39"/>
      <c r="I44" s="37"/>
      <c r="J44" s="37"/>
      <c r="K44" s="39"/>
      <c r="L44" s="37"/>
    </row>
    <row r="45" spans="1:12" ht="14">
      <c r="A45" s="36" t="str">
        <f>'Dados Dashboard'!G42</f>
        <v>Filtro</v>
      </c>
      <c r="B45" s="40" t="str">
        <f>'Dados Dashboard'!H42</f>
        <v>Quantidade</v>
      </c>
      <c r="C45" s="37"/>
      <c r="D45" s="37"/>
      <c r="E45" s="39"/>
      <c r="F45" s="37"/>
      <c r="G45" s="37"/>
      <c r="H45" s="39"/>
      <c r="I45" s="37"/>
      <c r="J45" s="37"/>
      <c r="K45" s="39"/>
      <c r="L45" s="37"/>
    </row>
    <row r="46" spans="1:12">
      <c r="A46" s="37" t="str">
        <f>'Dados Dashboard'!G43</f>
        <v>port</v>
      </c>
      <c r="B46" s="39">
        <f>'Dados Dashboard'!H43</f>
        <v>1</v>
      </c>
      <c r="C46" s="37"/>
      <c r="D46" s="37"/>
      <c r="E46" s="39"/>
      <c r="F46" s="37"/>
      <c r="G46" s="37"/>
      <c r="H46" s="39"/>
      <c r="I46" s="37"/>
      <c r="J46" s="37"/>
      <c r="K46" s="39"/>
      <c r="L46" s="37"/>
    </row>
    <row r="47" spans="1:12">
      <c r="A47" s="37" t="str">
        <f>'Dados Dashboard'!G44</f>
        <v>russ</v>
      </c>
      <c r="B47" s="39">
        <f>'Dados Dashboard'!H44</f>
        <v>1</v>
      </c>
      <c r="C47" s="37"/>
      <c r="D47" s="37"/>
      <c r="E47" s="39"/>
      <c r="F47" s="37"/>
      <c r="G47" s="37"/>
      <c r="H47" s="39"/>
      <c r="I47" s="37"/>
      <c r="J47" s="37"/>
      <c r="K47" s="39"/>
      <c r="L47" s="37"/>
    </row>
    <row r="48" spans="1:12">
      <c r="A48" s="37" t="str">
        <f>'Dados Dashboard'!G45</f>
        <v>arab</v>
      </c>
      <c r="B48" s="39">
        <f>'Dados Dashboard'!H45</f>
        <v>2</v>
      </c>
      <c r="C48" s="37"/>
      <c r="D48" s="37"/>
      <c r="E48" s="39"/>
      <c r="F48" s="37"/>
      <c r="G48" s="37"/>
      <c r="H48" s="39"/>
      <c r="I48" s="37"/>
      <c r="J48" s="37"/>
      <c r="K48" s="39"/>
      <c r="L48" s="37"/>
    </row>
    <row r="49" spans="1:12">
      <c r="A49" s="37" t="str">
        <f>'Dados Dashboard'!G46</f>
        <v>alema</v>
      </c>
      <c r="B49" s="39">
        <f>'Dados Dashboard'!H46</f>
        <v>18</v>
      </c>
      <c r="C49" s="37"/>
      <c r="D49" s="37"/>
      <c r="E49" s="39"/>
      <c r="F49" s="37"/>
      <c r="G49" s="37"/>
      <c r="H49" s="39"/>
      <c r="I49" s="37"/>
      <c r="J49" s="37"/>
      <c r="K49" s="39"/>
      <c r="L49" s="37"/>
    </row>
    <row r="50" spans="1:12">
      <c r="A50" s="37" t="str">
        <f>'Dados Dashboard'!G47</f>
        <v>latim</v>
      </c>
      <c r="B50" s="39">
        <f>'Dados Dashboard'!H47</f>
        <v>19</v>
      </c>
      <c r="C50" s="37"/>
      <c r="D50" s="37"/>
      <c r="E50" s="39"/>
      <c r="F50" s="37"/>
      <c r="G50" s="37"/>
      <c r="H50" s="39"/>
      <c r="I50" s="37"/>
      <c r="J50" s="37"/>
      <c r="K50" s="39"/>
      <c r="L50" s="37"/>
    </row>
    <row r="51" spans="1:12">
      <c r="A51" s="37" t="str">
        <f>'Dados Dashboard'!G48</f>
        <v>espanhol</v>
      </c>
      <c r="B51" s="39">
        <f>'Dados Dashboard'!H48</f>
        <v>24</v>
      </c>
      <c r="C51" s="37"/>
      <c r="D51" s="37"/>
      <c r="E51" s="39"/>
      <c r="F51" s="37"/>
      <c r="G51" s="37"/>
      <c r="H51" s="39"/>
      <c r="I51" s="37"/>
      <c r="J51" s="37"/>
      <c r="K51" s="39"/>
      <c r="L51" s="37"/>
    </row>
    <row r="52" spans="1:12">
      <c r="A52" s="37" t="str">
        <f>'Dados Dashboard'!G49</f>
        <v>ingles</v>
      </c>
      <c r="B52" s="39">
        <f>'Dados Dashboard'!H49</f>
        <v>43</v>
      </c>
      <c r="C52" s="37"/>
      <c r="D52" s="37"/>
      <c r="E52" s="39"/>
      <c r="F52" s="37"/>
      <c r="G52" s="37"/>
      <c r="H52" s="39"/>
      <c r="I52" s="37"/>
      <c r="J52" s="37"/>
      <c r="K52" s="39"/>
      <c r="L52" s="37"/>
    </row>
    <row r="53" spans="1:12">
      <c r="A53" s="37" t="str">
        <f>'Dados Dashboard'!G50</f>
        <v>italian</v>
      </c>
      <c r="B53" s="39">
        <f>'Dados Dashboard'!H50</f>
        <v>48</v>
      </c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2">
      <c r="A54" s="37" t="str">
        <f>'Dados Dashboard'!G51</f>
        <v>franc</v>
      </c>
      <c r="B54" s="39">
        <f>'Dados Dashboard'!H51</f>
        <v>146</v>
      </c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2">
      <c r="A55" s="37" t="str">
        <f>'Dados Dashboard'!G52</f>
        <v>portugu</v>
      </c>
      <c r="B55" s="39">
        <f>'Dados Dashboard'!H52</f>
        <v>3481</v>
      </c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2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2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2">
      <c r="A58" s="37"/>
      <c r="B58" s="39"/>
      <c r="C58" s="37"/>
      <c r="D58" s="37"/>
      <c r="E58" s="39"/>
      <c r="F58" s="37"/>
      <c r="G58" s="37"/>
      <c r="H58" s="39"/>
      <c r="I58" s="37"/>
      <c r="J58" s="37"/>
      <c r="K58" s="39"/>
      <c r="L58" s="37"/>
    </row>
    <row r="59" spans="1:12">
      <c r="A59" s="37"/>
      <c r="B59" s="39"/>
      <c r="C59" s="37"/>
      <c r="D59" s="37"/>
      <c r="E59" s="39"/>
      <c r="F59" s="37"/>
      <c r="G59" s="37"/>
      <c r="H59" s="39"/>
      <c r="I59" s="37"/>
      <c r="J59" s="37"/>
      <c r="K59" s="39"/>
      <c r="L59" s="37"/>
    </row>
    <row r="60" spans="1:12">
      <c r="A60" s="37"/>
      <c r="B60" s="39"/>
      <c r="C60" s="37"/>
      <c r="D60" s="37"/>
      <c r="E60" s="39"/>
      <c r="F60" s="37"/>
      <c r="G60" s="37"/>
      <c r="H60" s="39"/>
      <c r="I60" s="37"/>
      <c r="J60" s="37"/>
      <c r="K60" s="39"/>
      <c r="L60" s="37"/>
    </row>
    <row r="61" spans="1:12">
      <c r="A61" s="37"/>
      <c r="B61" s="39"/>
      <c r="C61" s="37"/>
      <c r="D61" s="37"/>
      <c r="E61" s="39"/>
      <c r="F61" s="37"/>
      <c r="G61" s="37"/>
      <c r="H61" s="39"/>
      <c r="I61" s="37"/>
      <c r="J61" s="37"/>
      <c r="K61" s="39"/>
      <c r="L61" s="37"/>
    </row>
    <row r="62" spans="1:12">
      <c r="A62" s="37"/>
      <c r="B62" s="39"/>
      <c r="C62" s="37"/>
      <c r="D62" s="37"/>
      <c r="E62" s="39"/>
      <c r="F62" s="37"/>
      <c r="G62" s="37"/>
      <c r="H62" s="39"/>
      <c r="I62" s="37"/>
      <c r="J62" s="37"/>
      <c r="K62" s="39"/>
      <c r="L62" s="37"/>
    </row>
    <row r="63" spans="1:12">
      <c r="A63" s="37"/>
      <c r="B63" s="39"/>
      <c r="C63" s="37"/>
      <c r="D63" s="37"/>
      <c r="E63" s="39"/>
      <c r="F63" s="37"/>
      <c r="G63" s="37"/>
      <c r="H63" s="39"/>
      <c r="I63" s="37"/>
      <c r="J63" s="37"/>
      <c r="K63" s="39"/>
      <c r="L63" s="37"/>
    </row>
    <row r="64" spans="1:12">
      <c r="A64" s="37"/>
      <c r="B64" s="39"/>
      <c r="C64" s="37"/>
      <c r="D64" s="37"/>
      <c r="E64" s="39"/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/>
      <c r="E65" s="39"/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10">
    <mergeCell ref="A1:L1"/>
    <mergeCell ref="A2:H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0"/>
  <sheetViews>
    <sheetView zoomScaleNormal="100" zoomScaleSheetLayoutView="100" workbookViewId="0">
      <selection activeCell="N6" sqref="N6"/>
    </sheetView>
  </sheetViews>
  <sheetFormatPr baseColWidth="10" defaultColWidth="8.83203125" defaultRowHeight="13"/>
  <cols>
    <col min="1" max="12" width="15" customWidth="1"/>
  </cols>
  <sheetData>
    <row r="1" spans="1:12" ht="32" customHeight="1">
      <c r="A1" s="71" t="s">
        <v>397</v>
      </c>
      <c r="B1" s="72"/>
      <c r="C1" s="71"/>
      <c r="D1" s="71"/>
      <c r="E1" s="72"/>
      <c r="F1" s="71"/>
      <c r="G1" s="71"/>
      <c r="H1" s="72"/>
      <c r="I1" s="71"/>
      <c r="J1" s="71"/>
      <c r="K1" s="72"/>
      <c r="L1" s="71"/>
    </row>
    <row r="2" spans="1:12" ht="22" customHeight="1">
      <c r="A2" s="73" t="s">
        <v>398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>
      <c r="A4" s="66" t="s">
        <v>393</v>
      </c>
      <c r="B4" s="67"/>
      <c r="C4" s="37"/>
      <c r="D4" s="66" t="s">
        <v>356</v>
      </c>
      <c r="E4" s="67"/>
      <c r="F4" s="37"/>
      <c r="G4" s="66" t="s">
        <v>191</v>
      </c>
      <c r="H4" s="67"/>
      <c r="I4" s="37"/>
      <c r="J4" s="66" t="s">
        <v>373</v>
      </c>
      <c r="K4" s="67"/>
      <c r="L4" s="37"/>
    </row>
    <row r="5" spans="1:12">
      <c r="A5" s="68">
        <f>Museu!D7</f>
        <v>275</v>
      </c>
      <c r="B5" s="69"/>
      <c r="C5" s="37"/>
      <c r="D5" s="68">
        <f>Museu!C9</f>
        <v>272</v>
      </c>
      <c r="E5" s="69"/>
      <c r="F5" s="37"/>
      <c r="G5" s="68">
        <f>Museu!C18</f>
        <v>199</v>
      </c>
      <c r="H5" s="69"/>
      <c r="I5" s="37"/>
      <c r="J5" s="68">
        <f>Museu!C24</f>
        <v>272</v>
      </c>
      <c r="K5" s="69"/>
      <c r="L5" s="37"/>
    </row>
    <row r="6" spans="1:12">
      <c r="A6" s="70"/>
      <c r="B6" s="69"/>
      <c r="C6" s="37"/>
      <c r="D6" s="70"/>
      <c r="E6" s="69"/>
      <c r="F6" s="37"/>
      <c r="G6" s="70"/>
      <c r="H6" s="69"/>
      <c r="I6" s="37"/>
      <c r="J6" s="70"/>
      <c r="K6" s="69"/>
      <c r="L6" s="37"/>
    </row>
    <row r="7" spans="1:12">
      <c r="A7" s="37"/>
      <c r="B7" s="39"/>
      <c r="C7" s="37"/>
      <c r="D7" s="37"/>
      <c r="E7" s="39"/>
      <c r="F7" s="37"/>
      <c r="G7" s="37"/>
      <c r="H7" s="39"/>
      <c r="I7" s="37"/>
      <c r="J7" s="37"/>
      <c r="K7" s="39"/>
      <c r="L7" s="37"/>
    </row>
    <row r="8" spans="1:12">
      <c r="A8" s="37"/>
      <c r="B8" s="39"/>
      <c r="C8" s="37"/>
      <c r="D8" s="37"/>
      <c r="E8" s="39"/>
      <c r="F8" s="37"/>
      <c r="G8" s="37"/>
      <c r="H8" s="39"/>
      <c r="I8" s="37"/>
      <c r="J8" s="37"/>
      <c r="K8" s="39"/>
      <c r="L8" s="37"/>
    </row>
    <row r="9" spans="1:12" ht="14">
      <c r="A9" s="36" t="str">
        <f>'Dados Dashboard'!A58</f>
        <v>Filtro</v>
      </c>
      <c r="B9" s="40" t="str">
        <f>'Dados Dashboard'!B58</f>
        <v>Quantidade</v>
      </c>
      <c r="C9" s="37"/>
      <c r="D9" s="37"/>
      <c r="E9" s="39"/>
      <c r="F9" s="37"/>
      <c r="G9" s="37"/>
      <c r="H9" s="39"/>
      <c r="I9" s="37"/>
      <c r="J9" s="37"/>
      <c r="K9" s="39"/>
      <c r="L9" s="37"/>
    </row>
    <row r="10" spans="1:12">
      <c r="A10" s="37" t="str">
        <f>'Dados Dashboard'!A59</f>
        <v>Material móvel</v>
      </c>
      <c r="B10" s="39">
        <f>'Dados Dashboard'!B59</f>
        <v>272</v>
      </c>
      <c r="C10" s="37"/>
      <c r="D10" s="37"/>
      <c r="E10" s="39"/>
      <c r="F10" s="37"/>
      <c r="G10" s="37"/>
      <c r="H10" s="39"/>
      <c r="I10" s="37"/>
      <c r="J10" s="37"/>
      <c r="K10" s="39"/>
      <c r="L10" s="37"/>
    </row>
    <row r="11" spans="1:12">
      <c r="A11" s="37" t="str">
        <f>'Dados Dashboard'!A60</f>
        <v>Onomástico</v>
      </c>
      <c r="B11" s="39">
        <f>'Dados Dashboard'!B60</f>
        <v>3</v>
      </c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>
      <c r="A12" s="37"/>
      <c r="B12" s="39"/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>
      <c r="A13" s="37"/>
      <c r="B13" s="39"/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/>
      <c r="B14" s="39"/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>
      <c r="A15" s="37"/>
      <c r="B15" s="39"/>
      <c r="C15" s="37"/>
      <c r="D15" s="37"/>
      <c r="E15" s="39"/>
      <c r="F15" s="37"/>
      <c r="G15" s="37"/>
      <c r="H15" s="39"/>
      <c r="I15" s="37"/>
      <c r="J15" s="37"/>
      <c r="K15" s="39"/>
      <c r="L15" s="37"/>
    </row>
    <row r="16" spans="1:12">
      <c r="A16" s="37"/>
      <c r="B16" s="39"/>
      <c r="C16" s="37"/>
      <c r="D16" s="37"/>
      <c r="E16" s="39"/>
      <c r="F16" s="37"/>
      <c r="G16" s="37"/>
      <c r="H16" s="39"/>
      <c r="I16" s="37"/>
      <c r="J16" s="37"/>
      <c r="K16" s="39"/>
      <c r="L16" s="37"/>
    </row>
    <row r="17" spans="1:12">
      <c r="A17" s="37"/>
      <c r="B17" s="39"/>
      <c r="C17" s="37"/>
      <c r="D17" s="37"/>
      <c r="E17" s="39"/>
      <c r="F17" s="37"/>
      <c r="G17" s="37"/>
      <c r="H17" s="39"/>
      <c r="I17" s="37"/>
      <c r="J17" s="37"/>
      <c r="K17" s="39"/>
      <c r="L17" s="37"/>
    </row>
    <row r="18" spans="1:12">
      <c r="A18" s="37"/>
      <c r="B18" s="39"/>
      <c r="C18" s="37"/>
      <c r="D18" s="37"/>
      <c r="E18" s="39"/>
      <c r="F18" s="37"/>
      <c r="G18" s="37"/>
      <c r="H18" s="39"/>
      <c r="I18" s="37"/>
      <c r="J18" s="37"/>
      <c r="K18" s="39"/>
      <c r="L18" s="37"/>
    </row>
    <row r="19" spans="1:12">
      <c r="A19" s="37"/>
      <c r="B19" s="39"/>
      <c r="C19" s="37"/>
      <c r="D19" s="37"/>
      <c r="E19" s="39"/>
      <c r="F19" s="37"/>
      <c r="G19" s="37"/>
      <c r="H19" s="39"/>
      <c r="I19" s="37"/>
      <c r="J19" s="37"/>
      <c r="K19" s="39"/>
      <c r="L19" s="37"/>
    </row>
    <row r="20" spans="1:12">
      <c r="A20" s="37"/>
      <c r="B20" s="39"/>
      <c r="C20" s="37"/>
      <c r="D20" s="37"/>
      <c r="E20" s="39"/>
      <c r="F20" s="37"/>
      <c r="G20" s="37"/>
      <c r="H20" s="39"/>
      <c r="I20" s="37"/>
      <c r="J20" s="37"/>
      <c r="K20" s="39"/>
      <c r="L20" s="37"/>
    </row>
    <row r="21" spans="1:12">
      <c r="A21" s="37"/>
      <c r="B21" s="39"/>
      <c r="C21" s="37"/>
      <c r="D21" s="37"/>
      <c r="E21" s="39"/>
      <c r="F21" s="37"/>
      <c r="G21" s="37"/>
      <c r="H21" s="39"/>
      <c r="I21" s="37"/>
      <c r="J21" s="37"/>
      <c r="K21" s="39"/>
      <c r="L21" s="37"/>
    </row>
    <row r="22" spans="1:12">
      <c r="A22" s="37"/>
      <c r="B22" s="39"/>
      <c r="C22" s="37"/>
      <c r="D22" s="37"/>
      <c r="E22" s="39"/>
      <c r="F22" s="37"/>
      <c r="G22" s="37"/>
      <c r="H22" s="39"/>
      <c r="I22" s="37"/>
      <c r="J22" s="37"/>
      <c r="K22" s="39"/>
      <c r="L22" s="37"/>
    </row>
    <row r="23" spans="1:12">
      <c r="A23" s="37"/>
      <c r="B23" s="39"/>
      <c r="C23" s="37"/>
      <c r="D23" s="37"/>
      <c r="E23" s="39"/>
      <c r="F23" s="37"/>
      <c r="G23" s="37"/>
      <c r="H23" s="39"/>
      <c r="I23" s="37"/>
      <c r="J23" s="37"/>
      <c r="K23" s="39"/>
      <c r="L23" s="37"/>
    </row>
    <row r="24" spans="1:12">
      <c r="A24" s="37"/>
      <c r="B24" s="39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2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2">
      <c r="A26" s="37"/>
      <c r="B26" s="39"/>
      <c r="C26" s="37"/>
      <c r="D26" s="37"/>
      <c r="E26" s="39"/>
      <c r="F26" s="37"/>
      <c r="G26" s="37"/>
      <c r="H26" s="39"/>
      <c r="I26" s="37"/>
      <c r="J26" s="37"/>
      <c r="K26" s="39"/>
      <c r="L26" s="37"/>
    </row>
    <row r="27" spans="1:12" ht="14">
      <c r="A27" s="36" t="str">
        <f>'Dados Dashboard'!D58</f>
        <v>Filtro</v>
      </c>
      <c r="B27" s="40" t="str">
        <f>'Dados Dashboard'!E58</f>
        <v>Quantidade</v>
      </c>
      <c r="C27" s="37"/>
      <c r="D27" s="37"/>
      <c r="E27" s="39"/>
      <c r="F27" s="37"/>
      <c r="G27" s="37"/>
      <c r="H27" s="39"/>
      <c r="I27" s="37"/>
      <c r="J27" s="37"/>
      <c r="K27" s="39"/>
      <c r="L27" s="37"/>
    </row>
    <row r="28" spans="1:12">
      <c r="A28" s="37" t="str">
        <f>'Dados Dashboard'!D59</f>
        <v>Fotografia</v>
      </c>
      <c r="B28" s="39">
        <f>'Dados Dashboard'!E59</f>
        <v>72</v>
      </c>
      <c r="C28" s="37"/>
      <c r="D28" s="37"/>
      <c r="E28" s="39"/>
      <c r="F28" s="37"/>
      <c r="G28" s="37"/>
      <c r="H28" s="39"/>
      <c r="I28" s="37"/>
      <c r="J28" s="37"/>
      <c r="K28" s="39"/>
      <c r="L28" s="37"/>
    </row>
    <row r="29" spans="1:12">
      <c r="A29" s="37" t="str">
        <f>'Dados Dashboard'!D60</f>
        <v>Retrato</v>
      </c>
      <c r="B29" s="39">
        <f>'Dados Dashboard'!E60</f>
        <v>38</v>
      </c>
      <c r="C29" s="37"/>
      <c r="D29" s="37"/>
      <c r="E29" s="39"/>
      <c r="F29" s="37"/>
      <c r="G29" s="37"/>
      <c r="H29" s="39"/>
      <c r="I29" s="37"/>
      <c r="J29" s="37"/>
      <c r="K29" s="39"/>
      <c r="L29" s="37"/>
    </row>
    <row r="30" spans="1:12">
      <c r="A30" s="37" t="str">
        <f>'Dados Dashboard'!D61</f>
        <v>Fotografia documental</v>
      </c>
      <c r="B30" s="39">
        <f>'Dados Dashboard'!E61</f>
        <v>29</v>
      </c>
      <c r="C30" s="37"/>
      <c r="D30" s="37"/>
      <c r="E30" s="39"/>
      <c r="F30" s="37"/>
      <c r="G30" s="37"/>
      <c r="H30" s="39"/>
      <c r="I30" s="37"/>
      <c r="J30" s="37"/>
      <c r="K30" s="39"/>
      <c r="L30" s="37"/>
    </row>
    <row r="31" spans="1:12">
      <c r="A31" s="37" t="str">
        <f>'Dados Dashboard'!D62</f>
        <v>Fotografia arquitectónica</v>
      </c>
      <c r="B31" s="39">
        <f>'Dados Dashboard'!E62</f>
        <v>6</v>
      </c>
      <c r="C31" s="37"/>
      <c r="D31" s="37"/>
      <c r="E31" s="39"/>
      <c r="F31" s="37"/>
      <c r="G31" s="37"/>
      <c r="H31" s="39"/>
      <c r="I31" s="37"/>
      <c r="J31" s="37"/>
      <c r="K31" s="39"/>
      <c r="L31" s="37"/>
    </row>
    <row r="32" spans="1:12">
      <c r="A32" s="37" t="str">
        <f>'Dados Dashboard'!D63</f>
        <v>Fotógrafo</v>
      </c>
      <c r="B32" s="39">
        <f>'Dados Dashboard'!E63</f>
        <v>2</v>
      </c>
      <c r="C32" s="37"/>
      <c r="D32" s="37"/>
      <c r="E32" s="39"/>
      <c r="F32" s="37"/>
      <c r="G32" s="37"/>
      <c r="H32" s="39"/>
      <c r="I32" s="37"/>
      <c r="J32" s="37"/>
      <c r="K32" s="39"/>
      <c r="L32" s="37"/>
    </row>
    <row r="33" spans="1:12">
      <c r="A33" s="37" t="str">
        <f>'Dados Dashboard'!D64</f>
        <v>Pintor</v>
      </c>
      <c r="B33" s="39">
        <f>'Dados Dashboard'!E64</f>
        <v>1</v>
      </c>
      <c r="C33" s="37"/>
      <c r="D33" s="37"/>
      <c r="E33" s="39"/>
      <c r="F33" s="37"/>
      <c r="G33" s="37"/>
      <c r="H33" s="39"/>
      <c r="I33" s="37"/>
      <c r="J33" s="37"/>
      <c r="K33" s="39"/>
      <c r="L33" s="37"/>
    </row>
    <row r="34" spans="1:12">
      <c r="A34" s="37" t="str">
        <f>'Dados Dashboard'!D65</f>
        <v>Pintura</v>
      </c>
      <c r="B34" s="39">
        <f>'Dados Dashboard'!E65</f>
        <v>1</v>
      </c>
      <c r="C34" s="37"/>
      <c r="D34" s="37"/>
      <c r="E34" s="39"/>
      <c r="F34" s="37"/>
      <c r="G34" s="37"/>
      <c r="H34" s="39"/>
      <c r="I34" s="37"/>
      <c r="J34" s="37"/>
      <c r="K34" s="39"/>
      <c r="L34" s="37"/>
    </row>
    <row r="35" spans="1:12">
      <c r="A35" s="37"/>
      <c r="B35" s="39"/>
      <c r="C35" s="37"/>
      <c r="D35" s="37"/>
      <c r="E35" s="39"/>
      <c r="F35" s="37"/>
      <c r="G35" s="37"/>
      <c r="H35" s="39"/>
      <c r="I35" s="37"/>
      <c r="J35" s="37"/>
      <c r="K35" s="39"/>
      <c r="L35" s="37"/>
    </row>
    <row r="36" spans="1:12">
      <c r="A36" s="37"/>
      <c r="B36" s="39"/>
      <c r="C36" s="37"/>
      <c r="D36" s="37"/>
      <c r="E36" s="39"/>
      <c r="F36" s="37"/>
      <c r="G36" s="37"/>
      <c r="H36" s="39"/>
      <c r="I36" s="37"/>
      <c r="J36" s="37"/>
      <c r="K36" s="39"/>
      <c r="L36" s="37"/>
    </row>
    <row r="37" spans="1:12">
      <c r="A37" s="37"/>
      <c r="B37" s="39"/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>
      <c r="A42" s="37"/>
      <c r="B42" s="39"/>
      <c r="C42" s="37"/>
      <c r="D42" s="37"/>
      <c r="E42" s="39"/>
      <c r="F42" s="37"/>
      <c r="G42" s="37"/>
      <c r="H42" s="39"/>
      <c r="I42" s="37"/>
      <c r="J42" s="37"/>
      <c r="K42" s="39"/>
      <c r="L42" s="37"/>
    </row>
    <row r="43" spans="1:12">
      <c r="A43" s="37"/>
      <c r="B43" s="39"/>
      <c r="C43" s="37"/>
      <c r="D43" s="37"/>
      <c r="E43" s="39"/>
      <c r="F43" s="37"/>
      <c r="G43" s="37"/>
      <c r="H43" s="39"/>
      <c r="I43" s="37"/>
      <c r="J43" s="37"/>
      <c r="K43" s="39"/>
      <c r="L43" s="37"/>
    </row>
    <row r="44" spans="1:12">
      <c r="A44" s="37"/>
      <c r="B44" s="39"/>
      <c r="C44" s="37"/>
      <c r="D44" s="37"/>
      <c r="E44" s="39"/>
      <c r="F44" s="37"/>
      <c r="G44" s="37"/>
      <c r="H44" s="39"/>
      <c r="I44" s="37"/>
      <c r="J44" s="37"/>
      <c r="K44" s="39"/>
      <c r="L44" s="37"/>
    </row>
    <row r="45" spans="1:12" ht="14">
      <c r="A45" s="36" t="str">
        <f>'Dados Dashboard'!G58</f>
        <v>Filtro</v>
      </c>
      <c r="B45" s="40" t="str">
        <f>'Dados Dashboard'!H58</f>
        <v>Quantidade</v>
      </c>
      <c r="C45" s="37"/>
      <c r="D45" s="37"/>
      <c r="E45" s="39"/>
      <c r="F45" s="37"/>
      <c r="G45" s="37"/>
      <c r="H45" s="39"/>
      <c r="I45" s="37"/>
      <c r="J45" s="37"/>
      <c r="K45" s="39"/>
      <c r="L45" s="37"/>
    </row>
    <row r="46" spans="1:12">
      <c r="A46" s="37" t="str">
        <f>'Dados Dashboard'!G59</f>
        <v>Tipografia</v>
      </c>
      <c r="B46" s="39">
        <f>'Dados Dashboard'!H59</f>
        <v>199</v>
      </c>
      <c r="C46" s="37"/>
      <c r="D46" s="37"/>
      <c r="E46" s="39"/>
      <c r="F46" s="37"/>
      <c r="G46" s="37"/>
      <c r="H46" s="39"/>
      <c r="I46" s="37"/>
      <c r="J46" s="37"/>
      <c r="K46" s="39"/>
      <c r="L46" s="37"/>
    </row>
    <row r="47" spans="1:12">
      <c r="A47" s="37" t="str">
        <f>'Dados Dashboard'!G60</f>
        <v>Fotografia</v>
      </c>
      <c r="B47" s="39">
        <f>'Dados Dashboard'!H60</f>
        <v>72</v>
      </c>
      <c r="C47" s="37"/>
      <c r="D47" s="37"/>
      <c r="E47" s="39"/>
      <c r="F47" s="37"/>
      <c r="G47" s="37"/>
      <c r="H47" s="39"/>
      <c r="I47" s="37"/>
      <c r="J47" s="37"/>
      <c r="K47" s="39"/>
      <c r="L47" s="37"/>
    </row>
    <row r="48" spans="1:12">
      <c r="A48" s="37" t="str">
        <f>'Dados Dashboard'!G61</f>
        <v>Pintura, Desenho e Gravura</v>
      </c>
      <c r="B48" s="39">
        <f>'Dados Dashboard'!H61</f>
        <v>1</v>
      </c>
      <c r="C48" s="37"/>
      <c r="D48" s="37"/>
      <c r="E48" s="39"/>
      <c r="F48" s="37"/>
      <c r="G48" s="37"/>
      <c r="H48" s="39"/>
      <c r="I48" s="37"/>
      <c r="J48" s="37"/>
      <c r="K48" s="39"/>
      <c r="L48" s="37"/>
    </row>
    <row r="49" spans="1:12">
      <c r="A49" s="37"/>
      <c r="B49" s="39"/>
      <c r="C49" s="37"/>
      <c r="D49" s="37"/>
      <c r="E49" s="39"/>
      <c r="F49" s="37"/>
      <c r="G49" s="37"/>
      <c r="H49" s="39"/>
      <c r="I49" s="37"/>
      <c r="J49" s="37"/>
      <c r="K49" s="39"/>
      <c r="L49" s="37"/>
    </row>
    <row r="50" spans="1:12">
      <c r="A50" s="37"/>
      <c r="B50" s="39"/>
      <c r="C50" s="37"/>
      <c r="D50" s="37"/>
      <c r="E50" s="39"/>
      <c r="F50" s="37"/>
      <c r="G50" s="37"/>
      <c r="H50" s="39"/>
      <c r="I50" s="37"/>
      <c r="J50" s="37"/>
      <c r="K50" s="39"/>
      <c r="L50" s="37"/>
    </row>
    <row r="51" spans="1:12">
      <c r="A51" s="37"/>
      <c r="B51" s="39"/>
      <c r="C51" s="37"/>
      <c r="D51" s="37"/>
      <c r="E51" s="39"/>
      <c r="F51" s="37"/>
      <c r="G51" s="37"/>
      <c r="H51" s="39"/>
      <c r="I51" s="37"/>
      <c r="J51" s="37"/>
      <c r="K51" s="39"/>
      <c r="L51" s="37"/>
    </row>
    <row r="52" spans="1:12">
      <c r="A52" s="37"/>
      <c r="B52" s="39"/>
      <c r="C52" s="37"/>
      <c r="D52" s="37"/>
      <c r="E52" s="39"/>
      <c r="F52" s="37"/>
      <c r="G52" s="37"/>
      <c r="H52" s="39"/>
      <c r="I52" s="37"/>
      <c r="J52" s="37"/>
      <c r="K52" s="39"/>
      <c r="L52" s="37"/>
    </row>
    <row r="53" spans="1:12">
      <c r="A53" s="37"/>
      <c r="B53" s="39"/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2">
      <c r="A54" s="37"/>
      <c r="B54" s="39"/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2">
      <c r="A55" s="37"/>
      <c r="B55" s="39"/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2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2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2">
      <c r="A58" s="37"/>
      <c r="B58" s="39"/>
      <c r="C58" s="37"/>
      <c r="D58" s="37"/>
      <c r="E58" s="39"/>
      <c r="F58" s="37"/>
      <c r="G58" s="37"/>
      <c r="H58" s="39"/>
      <c r="I58" s="37"/>
      <c r="J58" s="37"/>
      <c r="K58" s="39"/>
      <c r="L58" s="37"/>
    </row>
    <row r="59" spans="1:12">
      <c r="A59" s="37"/>
      <c r="B59" s="39"/>
      <c r="C59" s="37"/>
      <c r="D59" s="37"/>
      <c r="E59" s="39"/>
      <c r="F59" s="37"/>
      <c r="G59" s="37"/>
      <c r="H59" s="39"/>
      <c r="I59" s="37"/>
      <c r="J59" s="37"/>
      <c r="K59" s="39"/>
      <c r="L59" s="37"/>
    </row>
    <row r="60" spans="1:12">
      <c r="A60" s="37"/>
      <c r="B60" s="39"/>
      <c r="C60" s="37"/>
      <c r="D60" s="37"/>
      <c r="E60" s="39"/>
      <c r="F60" s="37"/>
      <c r="G60" s="37"/>
      <c r="H60" s="39"/>
      <c r="I60" s="37"/>
      <c r="J60" s="37"/>
      <c r="K60" s="39"/>
      <c r="L60" s="37"/>
    </row>
    <row r="61" spans="1:12">
      <c r="A61" s="37"/>
      <c r="B61" s="39"/>
      <c r="C61" s="37"/>
      <c r="D61" s="37"/>
      <c r="E61" s="39"/>
      <c r="F61" s="37"/>
      <c r="G61" s="37"/>
      <c r="H61" s="39"/>
      <c r="I61" s="37"/>
      <c r="J61" s="37"/>
      <c r="K61" s="39"/>
      <c r="L61" s="37"/>
    </row>
    <row r="62" spans="1:12">
      <c r="A62" s="37"/>
      <c r="B62" s="39"/>
      <c r="C62" s="37"/>
      <c r="D62" s="37"/>
      <c r="E62" s="39"/>
      <c r="F62" s="37"/>
      <c r="G62" s="37"/>
      <c r="H62" s="39"/>
      <c r="I62" s="37"/>
      <c r="J62" s="37"/>
      <c r="K62" s="39"/>
      <c r="L62" s="37"/>
    </row>
    <row r="63" spans="1:12">
      <c r="A63" s="37"/>
      <c r="B63" s="39"/>
      <c r="C63" s="37"/>
      <c r="D63" s="37"/>
      <c r="E63" s="39"/>
      <c r="F63" s="37"/>
      <c r="G63" s="37"/>
      <c r="H63" s="39"/>
      <c r="I63" s="37"/>
      <c r="J63" s="37"/>
      <c r="K63" s="39"/>
      <c r="L63" s="37"/>
    </row>
    <row r="64" spans="1:12">
      <c r="A64" s="37"/>
      <c r="B64" s="39"/>
      <c r="C64" s="37"/>
      <c r="D64" s="37"/>
      <c r="E64" s="39"/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/>
      <c r="E65" s="39"/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10">
    <mergeCell ref="A1:L1"/>
    <mergeCell ref="A2:H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0"/>
  <sheetViews>
    <sheetView zoomScaleNormal="100" zoomScaleSheetLayoutView="100" workbookViewId="0">
      <selection activeCell="B5" sqref="B5"/>
    </sheetView>
  </sheetViews>
  <sheetFormatPr baseColWidth="10" defaultColWidth="8.83203125" defaultRowHeight="13"/>
  <cols>
    <col min="1" max="8" width="18" customWidth="1"/>
    <col min="10" max="14" width="18" customWidth="1"/>
  </cols>
  <sheetData>
    <row r="1" spans="1:12" ht="32" customHeight="1">
      <c r="A1" s="71" t="s">
        <v>399</v>
      </c>
      <c r="B1" s="72"/>
      <c r="C1" s="71"/>
      <c r="D1" s="71"/>
      <c r="E1" s="72"/>
      <c r="F1" s="71"/>
      <c r="G1" s="71"/>
      <c r="H1" s="72"/>
      <c r="I1" s="37"/>
      <c r="J1" s="37"/>
      <c r="K1" s="39"/>
      <c r="L1" s="37"/>
    </row>
    <row r="2" spans="1:12" ht="22" customHeight="1">
      <c r="A2" s="73" t="s">
        <v>400</v>
      </c>
      <c r="B2" s="74"/>
      <c r="C2" s="73"/>
      <c r="D2" s="73"/>
      <c r="E2" s="74"/>
      <c r="F2" s="73"/>
      <c r="G2" s="73"/>
      <c r="H2" s="74"/>
      <c r="I2" s="37"/>
      <c r="J2" s="37"/>
      <c r="K2" s="39"/>
      <c r="L2" s="37"/>
    </row>
    <row r="3" spans="1:12">
      <c r="A3" s="37"/>
      <c r="B3" s="39"/>
      <c r="C3" s="37"/>
      <c r="D3" s="37"/>
      <c r="E3" s="39"/>
      <c r="F3" s="37"/>
      <c r="G3" s="37"/>
      <c r="H3" s="39"/>
      <c r="I3" s="37"/>
      <c r="J3" s="37"/>
      <c r="K3" s="39"/>
      <c r="L3" s="37"/>
    </row>
    <row r="4" spans="1:12" ht="14">
      <c r="A4" s="36" t="s">
        <v>401</v>
      </c>
      <c r="B4" s="40" t="s">
        <v>402</v>
      </c>
      <c r="C4" s="37"/>
      <c r="D4" s="36" t="s">
        <v>384</v>
      </c>
      <c r="E4" s="40" t="s">
        <v>403</v>
      </c>
      <c r="F4" s="37"/>
      <c r="G4" s="36"/>
      <c r="H4" s="40"/>
      <c r="I4" s="37"/>
      <c r="J4" s="37"/>
      <c r="K4" s="39"/>
      <c r="L4" s="37"/>
    </row>
    <row r="5" spans="1:12" ht="14">
      <c r="A5" s="38" t="s">
        <v>376</v>
      </c>
      <c r="B5" s="41">
        <f>COUNTA(Serviços!B2:B16)</f>
        <v>11</v>
      </c>
      <c r="C5" s="37"/>
      <c r="D5" s="37" t="s">
        <v>404</v>
      </c>
      <c r="E5" s="39">
        <f>'Website Institucional'!B15</f>
        <v>254</v>
      </c>
      <c r="F5" s="37"/>
      <c r="G5" s="37"/>
      <c r="H5" s="39"/>
      <c r="I5" s="37"/>
      <c r="J5" s="37"/>
      <c r="K5" s="39"/>
      <c r="L5" s="37"/>
    </row>
    <row r="6" spans="1:12" ht="14">
      <c r="A6" s="38" t="s">
        <v>377</v>
      </c>
      <c r="B6" s="41">
        <f>COUNTA(Contactos!A2:A14)</f>
        <v>13</v>
      </c>
      <c r="C6" s="37"/>
      <c r="D6" s="37" t="s">
        <v>405</v>
      </c>
      <c r="E6" s="39">
        <f>'Website Institucional'!E16</f>
        <v>2547</v>
      </c>
      <c r="F6" s="37"/>
      <c r="G6" s="37"/>
      <c r="H6" s="39"/>
      <c r="I6" s="37"/>
      <c r="J6" s="37"/>
      <c r="K6" s="39"/>
      <c r="L6" s="37"/>
    </row>
    <row r="7" spans="1:12" ht="19.5" customHeight="1">
      <c r="A7" s="38" t="s">
        <v>406</v>
      </c>
      <c r="B7" s="41">
        <f>COUNTA('Máquinas ACL'!A2:A7)</f>
        <v>6</v>
      </c>
      <c r="C7" s="37"/>
      <c r="D7" s="37" t="s">
        <v>73</v>
      </c>
      <c r="E7" s="39">
        <f>Biblioteca!D6</f>
        <v>70364</v>
      </c>
      <c r="F7" s="37"/>
      <c r="G7" s="37"/>
      <c r="H7" s="39"/>
      <c r="I7" s="37"/>
      <c r="J7" s="37"/>
      <c r="K7" s="39"/>
      <c r="L7" s="37"/>
    </row>
    <row r="8" spans="1:12" ht="14">
      <c r="A8" s="38" t="s">
        <v>380</v>
      </c>
      <c r="B8" s="41">
        <f>'Website Institucional'!B15</f>
        <v>254</v>
      </c>
      <c r="C8" s="37"/>
      <c r="D8" s="37" t="s">
        <v>166</v>
      </c>
      <c r="E8" s="39">
        <f>Arquivo!D7</f>
        <v>5275</v>
      </c>
      <c r="F8" s="37"/>
      <c r="G8" s="37"/>
      <c r="H8" s="39"/>
      <c r="I8" s="37"/>
      <c r="J8" s="37"/>
      <c r="K8" s="39"/>
      <c r="L8" s="37"/>
    </row>
    <row r="9" spans="1:12" ht="14">
      <c r="A9" s="38" t="s">
        <v>381</v>
      </c>
      <c r="B9" s="41">
        <f>'Website Institucional'!E16</f>
        <v>2547</v>
      </c>
      <c r="C9" s="37"/>
      <c r="D9" s="37" t="s">
        <v>84</v>
      </c>
      <c r="E9" s="39">
        <f>Museu!D7</f>
        <v>275</v>
      </c>
      <c r="F9" s="37"/>
      <c r="G9" s="37"/>
      <c r="H9" s="39"/>
      <c r="I9" s="37"/>
      <c r="J9" s="37"/>
      <c r="K9" s="39"/>
      <c r="L9" s="37"/>
    </row>
    <row r="10" spans="1:12" ht="14">
      <c r="A10" s="38" t="s">
        <v>382</v>
      </c>
      <c r="B10" s="41">
        <f>Biblioteca!D6</f>
        <v>70364</v>
      </c>
      <c r="C10" s="37"/>
      <c r="D10" s="37"/>
      <c r="E10" s="39"/>
      <c r="F10" s="37"/>
      <c r="G10" s="37"/>
      <c r="H10" s="39"/>
      <c r="I10" s="37"/>
      <c r="J10" s="37"/>
      <c r="K10" s="39"/>
      <c r="L10" s="37"/>
    </row>
    <row r="11" spans="1:12" ht="14">
      <c r="A11" s="38" t="s">
        <v>383</v>
      </c>
      <c r="B11" s="41">
        <f>Arquivo!D7</f>
        <v>5275</v>
      </c>
      <c r="C11" s="37"/>
      <c r="D11" s="37"/>
      <c r="E11" s="39"/>
      <c r="F11" s="37"/>
      <c r="G11" s="37"/>
      <c r="H11" s="39"/>
      <c r="I11" s="37"/>
      <c r="J11" s="37"/>
      <c r="K11" s="39"/>
      <c r="L11" s="37"/>
    </row>
    <row r="12" spans="1:12" ht="14">
      <c r="A12" s="38" t="s">
        <v>379</v>
      </c>
      <c r="B12" s="41">
        <f>Museu!D7</f>
        <v>275</v>
      </c>
      <c r="C12" s="37"/>
      <c r="D12" s="37"/>
      <c r="E12" s="39"/>
      <c r="F12" s="37"/>
      <c r="G12" s="37"/>
      <c r="H12" s="39"/>
      <c r="I12" s="37"/>
      <c r="J12" s="37"/>
      <c r="K12" s="39"/>
      <c r="L12" s="37"/>
    </row>
    <row r="13" spans="1:12">
      <c r="A13" s="37"/>
      <c r="B13" s="39"/>
      <c r="C13" s="37"/>
      <c r="D13" s="37"/>
      <c r="E13" s="39"/>
      <c r="F13" s="37"/>
      <c r="G13" s="37"/>
      <c r="H13" s="39"/>
      <c r="I13" s="37"/>
      <c r="J13" s="37"/>
      <c r="K13" s="39"/>
      <c r="L13" s="37"/>
    </row>
    <row r="14" spans="1:12">
      <c r="A14" s="37"/>
      <c r="B14" s="39"/>
      <c r="C14" s="37"/>
      <c r="D14" s="37"/>
      <c r="E14" s="39"/>
      <c r="F14" s="37"/>
      <c r="G14" s="37"/>
      <c r="H14" s="39"/>
      <c r="I14" s="37"/>
      <c r="J14" s="37"/>
      <c r="K14" s="39"/>
      <c r="L14" s="37"/>
    </row>
    <row r="15" spans="1:12" ht="14">
      <c r="A15" s="36" t="s">
        <v>407</v>
      </c>
      <c r="B15" s="40" t="s">
        <v>408</v>
      </c>
      <c r="C15" s="37"/>
      <c r="D15" s="36" t="s">
        <v>409</v>
      </c>
      <c r="E15" s="40" t="s">
        <v>158</v>
      </c>
      <c r="F15" s="37"/>
      <c r="G15" s="36" t="s">
        <v>156</v>
      </c>
      <c r="H15" s="40" t="s">
        <v>408</v>
      </c>
      <c r="I15" s="37"/>
      <c r="J15" s="37"/>
      <c r="K15" s="39"/>
      <c r="L15" s="37"/>
    </row>
    <row r="16" spans="1:12">
      <c r="A16" s="37">
        <f>'Website Institucional'!A9</f>
        <v>2021</v>
      </c>
      <c r="B16" s="39">
        <f>'Website Institucional'!B9</f>
        <v>1</v>
      </c>
      <c r="C16" s="37"/>
      <c r="D16" s="37" t="str">
        <f>'Website Institucional'!D9</f>
        <v>Image</v>
      </c>
      <c r="E16" s="39">
        <f>'Website Institucional'!E9</f>
        <v>1908</v>
      </c>
      <c r="F16" s="37"/>
      <c r="G16" s="37" t="str">
        <f>'Website Institucional'!G9</f>
        <v>NOTÍCIAS</v>
      </c>
      <c r="H16" s="39">
        <f>'Website Institucional'!H9</f>
        <v>245</v>
      </c>
      <c r="I16" s="37"/>
      <c r="J16" s="37"/>
      <c r="K16" s="39"/>
      <c r="L16" s="37"/>
    </row>
    <row r="17" spans="1:14">
      <c r="A17" s="37">
        <f>'Website Institucional'!A10</f>
        <v>2022</v>
      </c>
      <c r="B17" s="39">
        <f>'Website Institucional'!B10</f>
        <v>5</v>
      </c>
      <c r="C17" s="37"/>
      <c r="D17" s="37" t="str">
        <f>'Website Institucional'!D10</f>
        <v>PDF</v>
      </c>
      <c r="E17" s="39">
        <f>'Website Institucional'!E10</f>
        <v>627</v>
      </c>
      <c r="F17" s="37"/>
      <c r="G17" s="37" t="str">
        <f>'Website Institucional'!G10</f>
        <v>PRÉMIOS</v>
      </c>
      <c r="H17" s="39">
        <f>'Website Institucional'!H10</f>
        <v>5</v>
      </c>
      <c r="I17" s="37"/>
      <c r="J17" s="37"/>
      <c r="K17" s="39"/>
      <c r="L17" s="37"/>
    </row>
    <row r="18" spans="1:14">
      <c r="A18" s="37">
        <f>'Website Institucional'!A11</f>
        <v>2023</v>
      </c>
      <c r="B18" s="39">
        <f>'Website Institucional'!B11</f>
        <v>81</v>
      </c>
      <c r="C18" s="37"/>
      <c r="D18" s="37" t="str">
        <f>'Website Institucional'!D11</f>
        <v>x-font-woff</v>
      </c>
      <c r="E18" s="39">
        <f>'Website Institucional'!E11</f>
        <v>5</v>
      </c>
      <c r="F18" s="37"/>
      <c r="G18" s="37" t="str">
        <f>'Website Institucional'!G11</f>
        <v>OUTROS EVENTOS</v>
      </c>
      <c r="H18" s="39">
        <f>'Website Institucional'!H11</f>
        <v>4</v>
      </c>
      <c r="I18" s="37"/>
      <c r="J18" s="37"/>
      <c r="K18" s="39"/>
      <c r="L18" s="37"/>
    </row>
    <row r="19" spans="1:14">
      <c r="A19" s="37">
        <f>'Website Institucional'!A12</f>
        <v>2024</v>
      </c>
      <c r="B19" s="39">
        <f>'Website Institucional'!B12</f>
        <v>79</v>
      </c>
      <c r="C19" s="37"/>
      <c r="D19" s="37" t="str">
        <f>'Website Institucional'!D12</f>
        <v>DOC/WORD</v>
      </c>
      <c r="E19" s="39">
        <f>'Website Institucional'!E12</f>
        <v>4</v>
      </c>
      <c r="F19" s="37"/>
      <c r="G19" s="37" t="str">
        <f>'Website Institucional'!G12</f>
        <v>CONFERÊNCIAS</v>
      </c>
      <c r="H19" s="39">
        <f>'Website Institucional'!H12</f>
        <v>3</v>
      </c>
      <c r="I19" s="37"/>
      <c r="J19" s="37"/>
      <c r="K19" s="39"/>
      <c r="L19" s="37"/>
    </row>
    <row r="20" spans="1:14">
      <c r="A20" s="37">
        <f>'Website Institucional'!A13</f>
        <v>2025</v>
      </c>
      <c r="B20" s="39">
        <f>'Website Institucional'!B13</f>
        <v>83</v>
      </c>
      <c r="C20" s="37"/>
      <c r="D20" s="37" t="str">
        <f>'Website Institucional'!D13</f>
        <v>zip</v>
      </c>
      <c r="E20" s="39">
        <f>'Website Institucional'!E13</f>
        <v>1</v>
      </c>
      <c r="F20" s="37"/>
      <c r="G20" s="37" t="str">
        <f>'Website Institucional'!G13</f>
        <v>Recrutamento</v>
      </c>
      <c r="H20" s="39">
        <f>'Website Institucional'!H13</f>
        <v>3</v>
      </c>
      <c r="I20" s="37"/>
      <c r="J20" s="37"/>
      <c r="K20" s="39"/>
      <c r="L20" s="37"/>
    </row>
    <row r="21" spans="1:14">
      <c r="A21" s="37">
        <f>'Website Institucional'!A14</f>
        <v>2026</v>
      </c>
      <c r="B21" s="39">
        <f>'Website Institucional'!B14</f>
        <v>5</v>
      </c>
      <c r="C21" s="37"/>
      <c r="D21" s="37" t="str">
        <f>'Website Institucional'!D14</f>
        <v>Video</v>
      </c>
      <c r="E21" s="39">
        <f>'Website Institucional'!E14</f>
        <v>1</v>
      </c>
      <c r="F21" s="37"/>
      <c r="G21" s="37" t="str">
        <f>'Website Institucional'!G14</f>
        <v>Documento</v>
      </c>
      <c r="H21" s="39">
        <f>'Website Institucional'!H14</f>
        <v>2</v>
      </c>
      <c r="I21" s="37"/>
      <c r="J21" s="37"/>
      <c r="K21" s="39"/>
      <c r="L21" s="37"/>
    </row>
    <row r="22" spans="1:14">
      <c r="A22" s="37"/>
      <c r="B22" s="39"/>
      <c r="C22" s="37"/>
      <c r="D22" s="37" t="str">
        <f>'Website Institucional'!D15</f>
        <v>csv</v>
      </c>
      <c r="E22" s="39">
        <f>'Website Institucional'!E15</f>
        <v>1</v>
      </c>
      <c r="F22" s="37"/>
      <c r="G22" s="37" t="str">
        <f>'Website Institucional'!G15</f>
        <v>SESSÕES ACADÉMICAS</v>
      </c>
      <c r="H22" s="39">
        <f>'Website Institucional'!H15</f>
        <v>0</v>
      </c>
      <c r="I22" s="37"/>
      <c r="J22" s="37"/>
      <c r="K22" s="39"/>
      <c r="L22" s="37"/>
    </row>
    <row r="23" spans="1:14">
      <c r="A23" s="37"/>
      <c r="B23" s="39"/>
      <c r="C23" s="37"/>
      <c r="D23" s="37"/>
      <c r="E23" s="39"/>
      <c r="F23" s="37"/>
      <c r="G23" s="37" t="str">
        <f>'Website Institucional'!G16</f>
        <v>TODOS OS EVENTOS</v>
      </c>
      <c r="H23" s="39">
        <f>'Website Institucional'!H16</f>
        <v>0</v>
      </c>
      <c r="I23" s="37"/>
      <c r="J23" s="37"/>
      <c r="K23" s="39"/>
      <c r="L23" s="37"/>
    </row>
    <row r="24" spans="1:14">
      <c r="A24" s="37"/>
      <c r="B24" s="39"/>
      <c r="C24" s="37"/>
      <c r="D24" s="37"/>
      <c r="E24" s="39"/>
      <c r="F24" s="37"/>
      <c r="G24" s="37"/>
      <c r="H24" s="39"/>
      <c r="I24" s="37"/>
      <c r="J24" s="37"/>
      <c r="K24" s="39"/>
      <c r="L24" s="37"/>
    </row>
    <row r="25" spans="1:14">
      <c r="A25" s="37"/>
      <c r="B25" s="39"/>
      <c r="C25" s="37"/>
      <c r="D25" s="37"/>
      <c r="E25" s="39"/>
      <c r="F25" s="37"/>
      <c r="G25" s="37"/>
      <c r="H25" s="39"/>
      <c r="I25" s="37"/>
      <c r="J25" s="37"/>
      <c r="K25" s="39"/>
      <c r="L25" s="37"/>
    </row>
    <row r="26" spans="1:14" ht="14">
      <c r="A26" s="36" t="s">
        <v>157</v>
      </c>
      <c r="B26" s="40" t="s">
        <v>158</v>
      </c>
      <c r="C26" s="37"/>
      <c r="D26" s="36" t="s">
        <v>157</v>
      </c>
      <c r="E26" s="40" t="s">
        <v>158</v>
      </c>
      <c r="F26" s="37"/>
      <c r="G26" s="36" t="s">
        <v>157</v>
      </c>
      <c r="H26" s="40" t="s">
        <v>158</v>
      </c>
      <c r="I26" s="37"/>
      <c r="J26" s="36" t="s">
        <v>157</v>
      </c>
      <c r="K26" s="40" t="s">
        <v>158</v>
      </c>
      <c r="L26" s="37"/>
      <c r="M26" s="36" t="s">
        <v>157</v>
      </c>
      <c r="N26" s="36" t="s">
        <v>158</v>
      </c>
    </row>
    <row r="27" spans="1:14">
      <c r="A27" s="37" t="str">
        <f>Biblioteca!B8</f>
        <v>Monografias</v>
      </c>
      <c r="B27" s="39">
        <f>Biblioteca!C8</f>
        <v>38728</v>
      </c>
      <c r="C27" s="37"/>
      <c r="D27" s="37" t="str">
        <f>Biblioteca!B14</f>
        <v>Texto</v>
      </c>
      <c r="E27" s="39">
        <f>Biblioteca!C14</f>
        <v>60754</v>
      </c>
      <c r="F27" s="37"/>
      <c r="G27" s="37" t="str">
        <f>Biblioteca!B25</f>
        <v>Monografia</v>
      </c>
      <c r="H27" s="39">
        <f>Biblioteca!C25</f>
        <v>63544</v>
      </c>
      <c r="I27" s="37"/>
      <c r="J27" s="37" t="str">
        <f>Biblioteca!B126</f>
        <v>Português</v>
      </c>
      <c r="K27" s="39">
        <f>Biblioteca!C126</f>
        <v>45783</v>
      </c>
      <c r="L27" s="37"/>
      <c r="M27" t="str">
        <f>Biblioteca!B174</f>
        <v>Adulto</v>
      </c>
      <c r="N27">
        <f>Biblioteca!C174</f>
        <v>39191</v>
      </c>
    </row>
    <row r="28" spans="1:14">
      <c r="A28" s="37" t="str">
        <f>Biblioteca!B9</f>
        <v>Livro Antigo</v>
      </c>
      <c r="B28" s="39">
        <f>Biblioteca!C9</f>
        <v>26213</v>
      </c>
      <c r="C28" s="37"/>
      <c r="D28" s="37" t="str">
        <f>Biblioteca!B15</f>
        <v>Manuscrito</v>
      </c>
      <c r="E28" s="39">
        <f>Biblioteca!C15</f>
        <v>4619</v>
      </c>
      <c r="F28" s="37"/>
      <c r="G28" s="37" t="str">
        <f>Biblioteca!B26</f>
        <v>Analítico</v>
      </c>
      <c r="H28" s="39">
        <f>Biblioteca!C26</f>
        <v>5967</v>
      </c>
      <c r="I28" s="37"/>
      <c r="J28" s="37" t="str">
        <f>Biblioteca!B127</f>
        <v>Latim</v>
      </c>
      <c r="K28" s="39">
        <f>Biblioteca!C127</f>
        <v>11123</v>
      </c>
      <c r="L28" s="37"/>
      <c r="M28" t="str">
        <f>Biblioteca!B175</f>
        <v>Especializado</v>
      </c>
      <c r="N28">
        <f>Biblioteca!C175</f>
        <v>29752</v>
      </c>
    </row>
    <row r="29" spans="1:14">
      <c r="A29" s="37" t="str">
        <f>Biblioteca!B10</f>
        <v>Manuscritos</v>
      </c>
      <c r="B29" s="39">
        <f>Biblioteca!C10</f>
        <v>4503</v>
      </c>
      <c r="C29" s="37"/>
      <c r="D29" s="37" t="str">
        <f>Biblioteca!B16</f>
        <v>Imagem</v>
      </c>
      <c r="E29" s="39">
        <f>Biblioteca!C16</f>
        <v>856</v>
      </c>
      <c r="F29" s="37"/>
      <c r="G29" s="37" t="str">
        <f>Biblioteca!B27</f>
        <v>Série</v>
      </c>
      <c r="H29" s="39">
        <f>Biblioteca!C27</f>
        <v>200</v>
      </c>
      <c r="I29" s="37"/>
      <c r="J29" s="37" t="str">
        <f>Biblioteca!B128</f>
        <v>Francês</v>
      </c>
      <c r="K29" s="39">
        <f>Biblioteca!C128</f>
        <v>5612</v>
      </c>
      <c r="L29" s="37"/>
      <c r="M29" t="str">
        <f>Biblioteca!B176</f>
        <v>Jovem</v>
      </c>
      <c r="N29">
        <f>Biblioteca!C176</f>
        <v>276</v>
      </c>
    </row>
    <row r="30" spans="1:14">
      <c r="A30" s="37" t="str">
        <f>Biblioteca!B11</f>
        <v>Iconografia</v>
      </c>
      <c r="B30" s="39">
        <f>Biblioteca!C11</f>
        <v>813</v>
      </c>
      <c r="C30" s="37"/>
      <c r="D30" s="37" t="str">
        <f>Biblioteca!B17</f>
        <v>Documento electrónico</v>
      </c>
      <c r="E30" s="39">
        <f>Biblioteca!C17</f>
        <v>129</v>
      </c>
      <c r="F30" s="37"/>
      <c r="G30" s="37" t="str">
        <f>Biblioteca!B28</f>
        <v>Miscelânea</v>
      </c>
      <c r="H30" s="39">
        <f>Biblioteca!C28</f>
        <v>101</v>
      </c>
      <c r="I30" s="37"/>
      <c r="J30" s="37" t="str">
        <f>Biblioteca!B129</f>
        <v>Espanhol</v>
      </c>
      <c r="K30" s="39">
        <f>Biblioteca!C129</f>
        <v>3922</v>
      </c>
      <c r="L30" s="37"/>
      <c r="M30" t="str">
        <f>Biblioteca!B177</f>
        <v>Dos 9-14 anos</v>
      </c>
      <c r="N30">
        <f>Biblioteca!C177</f>
        <v>60</v>
      </c>
    </row>
    <row r="31" spans="1:14">
      <c r="A31" s="37" t="str">
        <f>Biblioteca!B12</f>
        <v>Periódicos</v>
      </c>
      <c r="B31" s="39">
        <f>Biblioteca!C12</f>
        <v>111</v>
      </c>
      <c r="C31" s="37"/>
      <c r="D31" s="37" t="str">
        <f>Biblioteca!B18</f>
        <v>Cartografia</v>
      </c>
      <c r="E31" s="39">
        <f>Biblioteca!C18</f>
        <v>61</v>
      </c>
      <c r="F31" s="37"/>
      <c r="G31" s="37" t="str">
        <f>Biblioteca!B29</f>
        <v>Recurso integrante</v>
      </c>
      <c r="H31" s="39">
        <f>Biblioteca!C29</f>
        <v>6</v>
      </c>
      <c r="I31" s="37"/>
      <c r="J31" s="37" t="str">
        <f>Biblioteca!B130</f>
        <v>Inglês</v>
      </c>
      <c r="K31" s="39">
        <f>Biblioteca!C130</f>
        <v>2326</v>
      </c>
      <c r="L31" s="37"/>
      <c r="M31" t="str">
        <f>Biblioteca!B178</f>
        <v>Juvenil</v>
      </c>
      <c r="N31">
        <f>Biblioteca!C178</f>
        <v>59</v>
      </c>
    </row>
    <row r="32" spans="1:14">
      <c r="A32" s="37" t="str">
        <f>Biblioteca!B13</f>
        <v>Arquivo</v>
      </c>
      <c r="B32" s="39">
        <f>Biblioteca!C13</f>
        <v>3</v>
      </c>
      <c r="C32" s="37"/>
      <c r="D32" s="37" t="str">
        <f>Biblioteca!B19</f>
        <v>Música</v>
      </c>
      <c r="E32" s="39">
        <f>Biblioteca!C19</f>
        <v>29</v>
      </c>
      <c r="F32" s="37"/>
      <c r="G32" s="37"/>
      <c r="H32" s="39"/>
      <c r="I32" s="37"/>
      <c r="J32" s="37" t="str">
        <f>Biblioteca!B131</f>
        <v>Italiano</v>
      </c>
      <c r="K32" s="39">
        <f>Biblioteca!C131</f>
        <v>1194</v>
      </c>
      <c r="L32" s="37"/>
      <c r="M32" t="str">
        <f>Biblioteca!B179</f>
        <v>Desconhecido</v>
      </c>
      <c r="N32">
        <f>Biblioteca!C179</f>
        <v>20</v>
      </c>
    </row>
    <row r="33" spans="1:12">
      <c r="A33" s="37"/>
      <c r="B33" s="39"/>
      <c r="C33" s="37"/>
      <c r="D33" s="37" t="str">
        <f>Biblioteca!B20</f>
        <v>Multimédia</v>
      </c>
      <c r="E33" s="39">
        <f>Biblioteca!C20</f>
        <v>11</v>
      </c>
      <c r="F33" s="37"/>
      <c r="G33" s="37"/>
      <c r="H33" s="39"/>
      <c r="I33" s="37"/>
      <c r="J33" s="37" t="str">
        <f>Biblioteca!B132</f>
        <v>Alemão</v>
      </c>
      <c r="K33" s="39">
        <f>Biblioteca!C132</f>
        <v>562</v>
      </c>
      <c r="L33" s="37"/>
    </row>
    <row r="34" spans="1:12">
      <c r="A34" s="37"/>
      <c r="B34" s="39"/>
      <c r="C34" s="37"/>
      <c r="D34" s="37" t="str">
        <f>Biblioteca!B21</f>
        <v>Partituras</v>
      </c>
      <c r="E34" s="39">
        <f>Biblioteca!C21</f>
        <v>2</v>
      </c>
      <c r="F34" s="37"/>
      <c r="G34" s="37"/>
      <c r="H34" s="39"/>
      <c r="I34" s="37"/>
      <c r="J34" s="37" t="str">
        <f>Biblioteca!B133</f>
        <v>Grego antigo (até 1453)</v>
      </c>
      <c r="K34" s="39">
        <f>Biblioteca!C133</f>
        <v>262</v>
      </c>
      <c r="L34" s="37"/>
    </row>
    <row r="35" spans="1:12">
      <c r="A35" s="37"/>
      <c r="B35" s="39"/>
      <c r="C35" s="37"/>
      <c r="D35" s="37" t="str">
        <f>Biblioteca!B22</f>
        <v>Documento sonoro</v>
      </c>
      <c r="E35" s="39">
        <f>Biblioteca!C22</f>
        <v>2</v>
      </c>
      <c r="F35" s="37"/>
      <c r="G35" s="37"/>
      <c r="H35" s="39"/>
      <c r="I35" s="37"/>
      <c r="J35" s="37" t="str">
        <f>Biblioteca!B134</f>
        <v>Árabe</v>
      </c>
      <c r="K35" s="39">
        <f>Biblioteca!C134</f>
        <v>145</v>
      </c>
      <c r="L35" s="37"/>
    </row>
    <row r="36" spans="1:12">
      <c r="A36" s="37"/>
      <c r="B36" s="39"/>
      <c r="C36" s="37"/>
      <c r="D36" s="37" t="str">
        <f>Biblioteca!B23</f>
        <v>Manuscrito (cartografia)</v>
      </c>
      <c r="E36" s="39">
        <f>Biblioteca!C23</f>
        <v>1</v>
      </c>
      <c r="F36" s="37"/>
      <c r="G36" s="37"/>
      <c r="H36" s="39"/>
      <c r="I36" s="37"/>
      <c r="J36" s="37" t="str">
        <f>Biblioteca!B135</f>
        <v>Hebraico</v>
      </c>
      <c r="K36" s="39">
        <f>Biblioteca!C135</f>
        <v>102</v>
      </c>
      <c r="L36" s="37"/>
    </row>
    <row r="37" spans="1:12">
      <c r="A37" s="37"/>
      <c r="B37" s="39"/>
      <c r="C37" s="37"/>
      <c r="D37" s="37"/>
      <c r="E37" s="39"/>
      <c r="F37" s="37"/>
      <c r="G37" s="37"/>
      <c r="H37" s="39"/>
      <c r="I37" s="37"/>
      <c r="J37" s="37"/>
      <c r="K37" s="39"/>
      <c r="L37" s="37"/>
    </row>
    <row r="38" spans="1:12">
      <c r="A38" s="37"/>
      <c r="B38" s="39"/>
      <c r="C38" s="37"/>
      <c r="D38" s="37"/>
      <c r="E38" s="39"/>
      <c r="F38" s="37"/>
      <c r="G38" s="37"/>
      <c r="H38" s="39"/>
      <c r="I38" s="37"/>
      <c r="J38" s="37"/>
      <c r="K38" s="39"/>
      <c r="L38" s="37"/>
    </row>
    <row r="39" spans="1:12">
      <c r="A39" s="37"/>
      <c r="B39" s="39"/>
      <c r="C39" s="37"/>
      <c r="D39" s="37"/>
      <c r="E39" s="39"/>
      <c r="F39" s="37"/>
      <c r="G39" s="37"/>
      <c r="H39" s="39"/>
      <c r="I39" s="37"/>
      <c r="J39" s="37"/>
      <c r="K39" s="39"/>
      <c r="L39" s="37"/>
    </row>
    <row r="40" spans="1:12">
      <c r="A40" s="37"/>
      <c r="B40" s="39"/>
      <c r="C40" s="37"/>
      <c r="D40" s="37"/>
      <c r="E40" s="39"/>
      <c r="F40" s="37"/>
      <c r="G40" s="37"/>
      <c r="H40" s="39"/>
      <c r="I40" s="37"/>
      <c r="J40" s="37"/>
      <c r="K40" s="39"/>
      <c r="L40" s="37"/>
    </row>
    <row r="41" spans="1:12">
      <c r="A41" s="37"/>
      <c r="B41" s="39"/>
      <c r="C41" s="37"/>
      <c r="D41" s="37"/>
      <c r="E41" s="39"/>
      <c r="F41" s="37"/>
      <c r="G41" s="37"/>
      <c r="H41" s="39"/>
      <c r="I41" s="37"/>
      <c r="J41" s="37"/>
      <c r="K41" s="39"/>
      <c r="L41" s="37"/>
    </row>
    <row r="42" spans="1:12" ht="14">
      <c r="A42" s="36" t="s">
        <v>157</v>
      </c>
      <c r="B42" s="40" t="s">
        <v>158</v>
      </c>
      <c r="C42" s="37"/>
      <c r="D42" s="36" t="s">
        <v>157</v>
      </c>
      <c r="E42" s="40" t="s">
        <v>158</v>
      </c>
      <c r="F42" s="37"/>
      <c r="G42" s="36" t="s">
        <v>157</v>
      </c>
      <c r="H42" s="40" t="s">
        <v>158</v>
      </c>
      <c r="I42" s="37"/>
      <c r="J42" s="37"/>
      <c r="K42" s="39"/>
      <c r="L42" s="37"/>
    </row>
    <row r="43" spans="1:12">
      <c r="A43" s="37" t="str">
        <f>Arquivo!B9</f>
        <v>Coleção</v>
      </c>
      <c r="B43" s="39">
        <f>Arquivo!C9</f>
        <v>4</v>
      </c>
      <c r="C43" s="37"/>
      <c r="D43" s="37" t="str">
        <f>Arquivo!B19</f>
        <v>Sem objetos digitais</v>
      </c>
      <c r="E43" s="39">
        <f>Arquivo!C19</f>
        <v>1980</v>
      </c>
      <c r="F43" s="37"/>
      <c r="G43" s="37" t="str">
        <f>Arquivo!B21</f>
        <v>port</v>
      </c>
      <c r="H43" s="39">
        <f>Arquivo!C21</f>
        <v>1</v>
      </c>
      <c r="I43" s="37"/>
      <c r="J43" s="37"/>
      <c r="K43" s="39"/>
      <c r="L43" s="37"/>
    </row>
    <row r="44" spans="1:12">
      <c r="A44" s="37" t="str">
        <f>Arquivo!B10</f>
        <v>Fundo</v>
      </c>
      <c r="B44" s="39">
        <f>Arquivo!C10</f>
        <v>1</v>
      </c>
      <c r="C44" s="37"/>
      <c r="D44" s="37" t="str">
        <f>Arquivo!B20</f>
        <v>Com objetos digitais</v>
      </c>
      <c r="E44" s="39">
        <f>Arquivo!C20</f>
        <v>3295</v>
      </c>
      <c r="F44" s="37"/>
      <c r="G44" s="37" t="str">
        <f>Arquivo!B22</f>
        <v>russ</v>
      </c>
      <c r="H44" s="39">
        <f>Arquivo!C22</f>
        <v>1</v>
      </c>
      <c r="I44" s="37"/>
      <c r="J44" s="37"/>
      <c r="K44" s="39"/>
      <c r="L44" s="37"/>
    </row>
    <row r="45" spans="1:12">
      <c r="A45" s="37" t="str">
        <f>Arquivo!B11</f>
        <v>Secção</v>
      </c>
      <c r="B45" s="39">
        <f>Arquivo!C11</f>
        <v>14</v>
      </c>
      <c r="C45" s="37"/>
      <c r="D45" s="37"/>
      <c r="E45" s="39"/>
      <c r="F45" s="37"/>
      <c r="G45" s="37" t="str">
        <f>Arquivo!B23</f>
        <v>arab</v>
      </c>
      <c r="H45" s="39">
        <f>Arquivo!C23</f>
        <v>2</v>
      </c>
      <c r="I45" s="37"/>
      <c r="J45" s="37"/>
      <c r="K45" s="39"/>
      <c r="L45" s="37"/>
    </row>
    <row r="46" spans="1:12">
      <c r="A46" s="37" t="str">
        <f>Arquivo!B12</f>
        <v>Subsecção</v>
      </c>
      <c r="B46" s="39">
        <f>Arquivo!C12</f>
        <v>11</v>
      </c>
      <c r="C46" s="37"/>
      <c r="D46" s="37"/>
      <c r="E46" s="39"/>
      <c r="F46" s="37"/>
      <c r="G46" s="37" t="str">
        <f>Arquivo!B24</f>
        <v>alema</v>
      </c>
      <c r="H46" s="39">
        <f>Arquivo!C24</f>
        <v>18</v>
      </c>
      <c r="I46" s="37"/>
      <c r="J46" s="37"/>
      <c r="K46" s="39"/>
      <c r="L46" s="37"/>
    </row>
    <row r="47" spans="1:12">
      <c r="A47" s="37" t="str">
        <f>Arquivo!B13</f>
        <v>Série</v>
      </c>
      <c r="B47" s="39">
        <f>Arquivo!C13</f>
        <v>169</v>
      </c>
      <c r="C47" s="37"/>
      <c r="D47" s="37"/>
      <c r="E47" s="39"/>
      <c r="F47" s="37"/>
      <c r="G47" s="37" t="str">
        <f>Arquivo!B25</f>
        <v>latim</v>
      </c>
      <c r="H47" s="39">
        <f>Arquivo!C25</f>
        <v>19</v>
      </c>
      <c r="I47" s="37"/>
      <c r="J47" s="37"/>
      <c r="K47" s="39"/>
      <c r="L47" s="37"/>
    </row>
    <row r="48" spans="1:12">
      <c r="A48" s="37" t="str">
        <f>Arquivo!B14</f>
        <v>Subsérie</v>
      </c>
      <c r="B48" s="39">
        <f>Arquivo!C14</f>
        <v>7</v>
      </c>
      <c r="C48" s="37"/>
      <c r="D48" s="37"/>
      <c r="E48" s="39"/>
      <c r="F48" s="37"/>
      <c r="G48" s="37" t="str">
        <f>Arquivo!B26</f>
        <v>espanhol</v>
      </c>
      <c r="H48" s="39">
        <f>Arquivo!C26</f>
        <v>24</v>
      </c>
      <c r="I48" s="37"/>
      <c r="J48" s="37"/>
      <c r="K48" s="39"/>
      <c r="L48" s="37"/>
    </row>
    <row r="49" spans="1:14">
      <c r="A49" s="37" t="str">
        <f>Arquivo!B15</f>
        <v>Unidade de instalação</v>
      </c>
      <c r="B49" s="39">
        <f>Arquivo!C15</f>
        <v>168</v>
      </c>
      <c r="C49" s="37"/>
      <c r="D49" s="37"/>
      <c r="E49" s="39"/>
      <c r="F49" s="37"/>
      <c r="G49" s="37" t="str">
        <f>Arquivo!B27</f>
        <v>ingles</v>
      </c>
      <c r="H49" s="39">
        <f>Arquivo!C27</f>
        <v>43</v>
      </c>
      <c r="I49" s="37"/>
      <c r="J49" s="37"/>
      <c r="K49" s="39"/>
      <c r="L49" s="37"/>
    </row>
    <row r="50" spans="1:14">
      <c r="A50" s="37" t="str">
        <f>Arquivo!B16</f>
        <v>Processo</v>
      </c>
      <c r="B50" s="39">
        <f>Arquivo!C16</f>
        <v>2199</v>
      </c>
      <c r="C50" s="37"/>
      <c r="D50" s="37"/>
      <c r="E50" s="39"/>
      <c r="F50" s="37"/>
      <c r="G50" s="37" t="str">
        <f>Arquivo!B28</f>
        <v>italian</v>
      </c>
      <c r="H50" s="39">
        <f>Arquivo!C28</f>
        <v>48</v>
      </c>
      <c r="I50" s="37"/>
      <c r="J50" s="37"/>
      <c r="K50" s="39"/>
      <c r="L50" s="37"/>
    </row>
    <row r="51" spans="1:14">
      <c r="A51" s="37" t="str">
        <f>Arquivo!B17</f>
        <v>Documento composto</v>
      </c>
      <c r="B51" s="39">
        <f>Arquivo!C17</f>
        <v>451</v>
      </c>
      <c r="C51" s="37"/>
      <c r="D51" s="37"/>
      <c r="E51" s="39"/>
      <c r="F51" s="37"/>
      <c r="G51" s="37" t="str">
        <f>Arquivo!B29</f>
        <v>franc</v>
      </c>
      <c r="H51" s="39">
        <f>Arquivo!C29</f>
        <v>146</v>
      </c>
      <c r="I51" s="37"/>
      <c r="J51" s="37"/>
      <c r="K51" s="39"/>
      <c r="L51" s="37"/>
    </row>
    <row r="52" spans="1:14">
      <c r="A52" s="37" t="str">
        <f>Arquivo!B18</f>
        <v>Documento simples</v>
      </c>
      <c r="B52" s="39">
        <f>Arquivo!C18</f>
        <v>2251</v>
      </c>
      <c r="C52" s="37"/>
      <c r="D52" s="37"/>
      <c r="E52" s="39"/>
      <c r="F52" s="37"/>
      <c r="G52" s="37" t="str">
        <f>Arquivo!B30</f>
        <v>portugu</v>
      </c>
      <c r="H52" s="39">
        <f>Arquivo!C30</f>
        <v>3481</v>
      </c>
      <c r="I52" s="37"/>
      <c r="J52" s="37"/>
      <c r="K52" s="39"/>
      <c r="L52" s="37"/>
    </row>
    <row r="53" spans="1:14">
      <c r="A53" s="37"/>
      <c r="B53" s="39"/>
      <c r="C53" s="37"/>
      <c r="D53" s="37"/>
      <c r="E53" s="39"/>
      <c r="F53" s="37"/>
      <c r="G53" s="37"/>
      <c r="H53" s="39"/>
      <c r="I53" s="37"/>
      <c r="J53" s="37"/>
      <c r="K53" s="39"/>
      <c r="L53" s="37"/>
    </row>
    <row r="54" spans="1:14">
      <c r="A54" s="37"/>
      <c r="B54" s="39"/>
      <c r="C54" s="37"/>
      <c r="D54" s="37"/>
      <c r="E54" s="39"/>
      <c r="F54" s="37"/>
      <c r="G54" s="37"/>
      <c r="H54" s="39"/>
      <c r="I54" s="37"/>
      <c r="J54" s="37"/>
      <c r="K54" s="39"/>
      <c r="L54" s="37"/>
    </row>
    <row r="55" spans="1:14">
      <c r="A55" s="37"/>
      <c r="B55" s="39"/>
      <c r="C55" s="37"/>
      <c r="D55" s="37"/>
      <c r="E55" s="39"/>
      <c r="F55" s="37"/>
      <c r="G55" s="37"/>
      <c r="H55" s="39"/>
      <c r="I55" s="37"/>
      <c r="J55" s="37"/>
      <c r="K55" s="39"/>
      <c r="L55" s="37"/>
    </row>
    <row r="56" spans="1:14">
      <c r="A56" s="37"/>
      <c r="B56" s="39"/>
      <c r="C56" s="37"/>
      <c r="D56" s="37"/>
      <c r="E56" s="39"/>
      <c r="F56" s="37"/>
      <c r="G56" s="37"/>
      <c r="H56" s="39"/>
      <c r="I56" s="37"/>
      <c r="J56" s="37"/>
      <c r="K56" s="39"/>
      <c r="L56" s="37"/>
    </row>
    <row r="57" spans="1:14">
      <c r="A57" s="37"/>
      <c r="B57" s="39"/>
      <c r="C57" s="37"/>
      <c r="D57" s="37"/>
      <c r="E57" s="39"/>
      <c r="F57" s="37"/>
      <c r="G57" s="37"/>
      <c r="H57" s="39"/>
      <c r="I57" s="37"/>
      <c r="J57" s="37"/>
      <c r="K57" s="39"/>
      <c r="L57" s="37"/>
    </row>
    <row r="58" spans="1:14" ht="14">
      <c r="A58" s="36" t="s">
        <v>157</v>
      </c>
      <c r="B58" s="40" t="s">
        <v>158</v>
      </c>
      <c r="C58" s="37"/>
      <c r="D58" s="36" t="s">
        <v>157</v>
      </c>
      <c r="E58" s="40" t="s">
        <v>158</v>
      </c>
      <c r="F58" s="37"/>
      <c r="G58" s="36" t="s">
        <v>157</v>
      </c>
      <c r="H58" s="40" t="s">
        <v>158</v>
      </c>
      <c r="I58" s="37"/>
      <c r="J58" s="36" t="s">
        <v>157</v>
      </c>
      <c r="K58" s="40" t="s">
        <v>158</v>
      </c>
      <c r="L58" s="37"/>
      <c r="M58" s="36" t="s">
        <v>157</v>
      </c>
      <c r="N58" s="36" t="s">
        <v>158</v>
      </c>
    </row>
    <row r="59" spans="1:14">
      <c r="A59" s="37" t="str">
        <f>Museu!B9</f>
        <v>Material móvel</v>
      </c>
      <c r="B59" s="39">
        <f>Museu!C9</f>
        <v>272</v>
      </c>
      <c r="C59" s="37"/>
      <c r="D59" s="37" t="str">
        <f>Museu!B11</f>
        <v>Fotografia</v>
      </c>
      <c r="E59" s="39">
        <f>Museu!C11</f>
        <v>72</v>
      </c>
      <c r="F59" s="37"/>
      <c r="G59" s="37" t="str">
        <f>Museu!B18</f>
        <v>Tipografia</v>
      </c>
      <c r="H59" s="39">
        <f>Museu!C18</f>
        <v>199</v>
      </c>
      <c r="I59" s="37"/>
      <c r="J59" s="37" t="str">
        <f>Museu!B21</f>
        <v>Joaquim Manuel da Rocha (1727-1786)</v>
      </c>
      <c r="K59" s="39">
        <f>Museu!C21</f>
        <v>1</v>
      </c>
      <c r="L59" s="37"/>
      <c r="M59" t="str">
        <f>Museu!B24</f>
        <v>Lisboa</v>
      </c>
      <c r="N59">
        <f>Museu!C24</f>
        <v>272</v>
      </c>
    </row>
    <row r="60" spans="1:14">
      <c r="A60" s="37" t="str">
        <f>Museu!B10</f>
        <v>Onomástico</v>
      </c>
      <c r="B60" s="39">
        <f>Museu!C10</f>
        <v>3</v>
      </c>
      <c r="C60" s="37"/>
      <c r="D60" s="37" t="str">
        <f>Museu!B12</f>
        <v>Retrato</v>
      </c>
      <c r="E60" s="39">
        <f>Museu!C12</f>
        <v>38</v>
      </c>
      <c r="F60" s="37"/>
      <c r="G60" s="37" t="str">
        <f>Museu!B19</f>
        <v>Fotografia</v>
      </c>
      <c r="H60" s="39">
        <f>Museu!C19</f>
        <v>72</v>
      </c>
      <c r="I60" s="37"/>
      <c r="J60" s="37" t="str">
        <f>Museu!B22</f>
        <v>João Francisco Camacho (1833-1898)</v>
      </c>
      <c r="K60" s="39">
        <f>Museu!C22</f>
        <v>1</v>
      </c>
      <c r="L60" s="37"/>
    </row>
    <row r="61" spans="1:14">
      <c r="A61" s="37"/>
      <c r="B61" s="39"/>
      <c r="C61" s="37"/>
      <c r="D61" s="37" t="str">
        <f>Museu!B13</f>
        <v>Fotografia documental</v>
      </c>
      <c r="E61" s="39">
        <f>Museu!C13</f>
        <v>29</v>
      </c>
      <c r="F61" s="37"/>
      <c r="G61" s="37" t="str">
        <f>Museu!B20</f>
        <v>Pintura, Desenho e Gravura</v>
      </c>
      <c r="H61" s="39">
        <f>Museu!C20</f>
        <v>1</v>
      </c>
      <c r="I61" s="37"/>
      <c r="J61" s="37" t="str">
        <f>Museu!B23</f>
        <v>Júlio Novaes (1867-1925)</v>
      </c>
      <c r="K61" s="39">
        <f>Museu!C23</f>
        <v>1</v>
      </c>
      <c r="L61" s="37"/>
    </row>
    <row r="62" spans="1:14">
      <c r="A62" s="37"/>
      <c r="B62" s="39"/>
      <c r="C62" s="37"/>
      <c r="D62" s="37" t="str">
        <f>Museu!B14</f>
        <v>Fotografia arquitectónica</v>
      </c>
      <c r="E62" s="39">
        <f>Museu!C14</f>
        <v>6</v>
      </c>
      <c r="F62" s="37"/>
      <c r="G62" s="37"/>
      <c r="H62" s="39"/>
      <c r="I62" s="37"/>
      <c r="J62" s="37"/>
      <c r="K62" s="39"/>
      <c r="L62" s="37"/>
    </row>
    <row r="63" spans="1:14">
      <c r="A63" s="37"/>
      <c r="B63" s="39"/>
      <c r="C63" s="37"/>
      <c r="D63" s="37" t="str">
        <f>Museu!B15</f>
        <v>Fotógrafo</v>
      </c>
      <c r="E63" s="39">
        <f>Museu!C15</f>
        <v>2</v>
      </c>
      <c r="F63" s="37"/>
      <c r="G63" s="37"/>
      <c r="H63" s="39"/>
      <c r="I63" s="37"/>
      <c r="J63" s="37"/>
      <c r="K63" s="39"/>
      <c r="L63" s="37"/>
    </row>
    <row r="64" spans="1:14">
      <c r="A64" s="37"/>
      <c r="B64" s="39"/>
      <c r="C64" s="37"/>
      <c r="D64" s="37" t="str">
        <f>Museu!B16</f>
        <v>Pintor</v>
      </c>
      <c r="E64" s="39">
        <f>Museu!C16</f>
        <v>1</v>
      </c>
      <c r="F64" s="37"/>
      <c r="G64" s="37"/>
      <c r="H64" s="39"/>
      <c r="I64" s="37"/>
      <c r="J64" s="37"/>
      <c r="K64" s="39"/>
      <c r="L64" s="37"/>
    </row>
    <row r="65" spans="1:12">
      <c r="A65" s="37"/>
      <c r="B65" s="39"/>
      <c r="C65" s="37"/>
      <c r="D65" s="37" t="str">
        <f>Museu!B17</f>
        <v>Pintura</v>
      </c>
      <c r="E65" s="39">
        <f>Museu!C17</f>
        <v>1</v>
      </c>
      <c r="F65" s="37"/>
      <c r="G65" s="37"/>
      <c r="H65" s="39"/>
      <c r="I65" s="37"/>
      <c r="J65" s="37"/>
      <c r="K65" s="39"/>
      <c r="L65" s="37"/>
    </row>
    <row r="66" spans="1:12">
      <c r="A66" s="37"/>
      <c r="B66" s="39"/>
      <c r="C66" s="37"/>
      <c r="D66" s="37"/>
      <c r="E66" s="39"/>
      <c r="F66" s="37"/>
      <c r="G66" s="37"/>
      <c r="H66" s="39"/>
      <c r="I66" s="37"/>
      <c r="J66" s="37"/>
      <c r="K66" s="39"/>
      <c r="L66" s="37"/>
    </row>
    <row r="67" spans="1:12">
      <c r="A67" s="37"/>
      <c r="B67" s="39"/>
      <c r="C67" s="37"/>
      <c r="D67" s="37"/>
      <c r="E67" s="39"/>
      <c r="F67" s="37"/>
      <c r="G67" s="37"/>
      <c r="H67" s="39"/>
      <c r="I67" s="37"/>
      <c r="J67" s="37"/>
      <c r="K67" s="39"/>
      <c r="L67" s="37"/>
    </row>
    <row r="68" spans="1:12">
      <c r="A68" s="37"/>
      <c r="B68" s="39"/>
      <c r="C68" s="37"/>
      <c r="D68" s="37"/>
      <c r="E68" s="39"/>
      <c r="F68" s="37"/>
      <c r="G68" s="37"/>
      <c r="H68" s="39"/>
      <c r="I68" s="37"/>
      <c r="J68" s="37"/>
      <c r="K68" s="39"/>
      <c r="L68" s="37"/>
    </row>
    <row r="69" spans="1:12">
      <c r="A69" s="37"/>
      <c r="B69" s="39"/>
      <c r="C69" s="37"/>
      <c r="D69" s="37"/>
      <c r="E69" s="39"/>
      <c r="F69" s="37"/>
      <c r="G69" s="37"/>
      <c r="H69" s="39"/>
      <c r="I69" s="37"/>
      <c r="J69" s="37"/>
      <c r="K69" s="39"/>
      <c r="L69" s="37"/>
    </row>
    <row r="70" spans="1:12">
      <c r="A70" s="37"/>
      <c r="B70" s="39"/>
      <c r="C70" s="37"/>
      <c r="D70" s="37"/>
      <c r="E70" s="39"/>
      <c r="F70" s="37"/>
      <c r="G70" s="37"/>
      <c r="H70" s="39"/>
      <c r="I70" s="37"/>
      <c r="J70" s="37"/>
      <c r="K70" s="39"/>
      <c r="L70" s="37"/>
    </row>
    <row r="71" spans="1:12">
      <c r="A71" s="37"/>
      <c r="B71" s="39"/>
      <c r="C71" s="37"/>
      <c r="D71" s="37"/>
      <c r="E71" s="39"/>
      <c r="F71" s="37"/>
      <c r="G71" s="37"/>
      <c r="H71" s="39"/>
      <c r="I71" s="37"/>
      <c r="J71" s="37"/>
      <c r="K71" s="39"/>
      <c r="L71" s="37"/>
    </row>
    <row r="72" spans="1:12">
      <c r="A72" s="37"/>
      <c r="B72" s="39"/>
      <c r="C72" s="37"/>
      <c r="D72" s="37"/>
      <c r="E72" s="39"/>
      <c r="F72" s="37"/>
      <c r="G72" s="37"/>
      <c r="H72" s="39"/>
      <c r="I72" s="37"/>
      <c r="J72" s="37"/>
      <c r="K72" s="39"/>
      <c r="L72" s="37"/>
    </row>
    <row r="73" spans="1:12">
      <c r="A73" s="37"/>
      <c r="B73" s="39"/>
      <c r="C73" s="37"/>
      <c r="D73" s="37"/>
      <c r="E73" s="39"/>
      <c r="F73" s="37"/>
      <c r="G73" s="37"/>
      <c r="H73" s="39"/>
      <c r="I73" s="37"/>
      <c r="J73" s="37"/>
      <c r="K73" s="39"/>
      <c r="L73" s="37"/>
    </row>
    <row r="74" spans="1:12">
      <c r="A74" s="37"/>
      <c r="B74" s="39"/>
      <c r="C74" s="37"/>
      <c r="D74" s="37"/>
      <c r="E74" s="39"/>
      <c r="F74" s="37"/>
      <c r="G74" s="37"/>
      <c r="H74" s="39"/>
      <c r="I74" s="37"/>
      <c r="J74" s="37"/>
      <c r="K74" s="39"/>
      <c r="L74" s="37"/>
    </row>
    <row r="75" spans="1:12">
      <c r="A75" s="37"/>
      <c r="B75" s="39"/>
      <c r="C75" s="37"/>
      <c r="D75" s="37"/>
      <c r="E75" s="39"/>
      <c r="F75" s="37"/>
      <c r="G75" s="37"/>
      <c r="H75" s="39"/>
      <c r="I75" s="37"/>
      <c r="J75" s="37"/>
      <c r="K75" s="39"/>
      <c r="L75" s="37"/>
    </row>
    <row r="76" spans="1:12">
      <c r="A76" s="37"/>
      <c r="B76" s="39"/>
      <c r="C76" s="37"/>
      <c r="D76" s="37"/>
      <c r="E76" s="39"/>
      <c r="F76" s="37"/>
      <c r="G76" s="37"/>
      <c r="H76" s="39"/>
      <c r="I76" s="37"/>
      <c r="J76" s="37"/>
      <c r="K76" s="39"/>
      <c r="L76" s="37"/>
    </row>
    <row r="77" spans="1:12">
      <c r="A77" s="37"/>
      <c r="B77" s="39"/>
      <c r="C77" s="37"/>
      <c r="D77" s="37"/>
      <c r="E77" s="39"/>
      <c r="F77" s="37"/>
      <c r="G77" s="37"/>
      <c r="H77" s="39"/>
      <c r="I77" s="37"/>
      <c r="J77" s="37"/>
      <c r="K77" s="39"/>
      <c r="L77" s="37"/>
    </row>
    <row r="78" spans="1:12">
      <c r="A78" s="37"/>
      <c r="B78" s="39"/>
      <c r="C78" s="37"/>
      <c r="D78" s="37"/>
      <c r="E78" s="39"/>
      <c r="F78" s="37"/>
      <c r="G78" s="37"/>
      <c r="H78" s="39"/>
      <c r="I78" s="37"/>
      <c r="J78" s="37"/>
      <c r="K78" s="39"/>
      <c r="L78" s="37"/>
    </row>
    <row r="79" spans="1:12">
      <c r="A79" s="37"/>
      <c r="B79" s="39"/>
      <c r="C79" s="37"/>
      <c r="D79" s="37"/>
      <c r="E79" s="39"/>
      <c r="F79" s="37"/>
      <c r="G79" s="37"/>
      <c r="H79" s="39"/>
      <c r="I79" s="37"/>
      <c r="J79" s="37"/>
      <c r="K79" s="39"/>
      <c r="L79" s="37"/>
    </row>
    <row r="80" spans="1:12">
      <c r="A80" s="37"/>
      <c r="B80" s="39"/>
      <c r="C80" s="37"/>
      <c r="D80" s="37"/>
      <c r="E80" s="39"/>
      <c r="F80" s="37"/>
      <c r="G80" s="37"/>
      <c r="H80" s="39"/>
      <c r="I80" s="37"/>
      <c r="J80" s="37"/>
      <c r="K80" s="39"/>
      <c r="L80" s="37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Máquinas ACL</vt:lpstr>
      <vt:lpstr>Contactos</vt:lpstr>
      <vt:lpstr>Serviços</vt:lpstr>
      <vt:lpstr>Website Institucional</vt:lpstr>
      <vt:lpstr>Biblioteca</vt:lpstr>
      <vt:lpstr>Arquivo</vt:lpstr>
      <vt:lpstr>Museu</vt:lpstr>
      <vt:lpstr>Dashboard Geral</vt:lpstr>
      <vt:lpstr>Dashboard Website</vt:lpstr>
      <vt:lpstr>Dashboard Biblioteca</vt:lpstr>
      <vt:lpstr>Dashboard Arquivo</vt:lpstr>
      <vt:lpstr>Dashboard Museu</vt:lpstr>
      <vt:lpstr>Dados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2026-05-13T13:43:14Z</dcterms:created>
  <dcterms:modified xsi:type="dcterms:W3CDTF">2026-06-29T14:29:05Z</dcterms:modified>
  <cp:category/>
  <cp:contentStatus/>
</cp:coreProperties>
</file>